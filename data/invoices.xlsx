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ab1d38c575203a/Desktop/AI/HR/Invoices/"/>
    </mc:Choice>
  </mc:AlternateContent>
  <xr:revisionPtr revIDLastSave="0" documentId="8_{28DB8A45-CAEA-4715-B73C-346830E2F3F5}" xr6:coauthVersionLast="47" xr6:coauthVersionMax="47" xr10:uidLastSave="{00000000-0000-0000-0000-000000000000}"/>
  <bookViews>
    <workbookView xWindow="-108" yWindow="-108" windowWidth="23256" windowHeight="13896" xr2:uid="{1B39F401-5380-42E6-9CF8-A4CDB5861263}"/>
  </bookViews>
  <sheets>
    <sheet name="إجمالي المستخلصات_" sheetId="1" r:id="rId1"/>
  </sheets>
  <definedNames>
    <definedName name="_xlnm._FilterDatabase" localSheetId="0" hidden="1">'إجمالي المستخلصات_'!$A$3:$L$68</definedName>
    <definedName name="_Hlk40853786" localSheetId="0">'إجمالي المستخلصات_'!#REF!</definedName>
    <definedName name="_xlnm.Print_Area" localSheetId="0">'إجمالي المستخلصات_'!$A$1:$L$64</definedName>
    <definedName name="_xlnm.Print_Titles" localSheetId="0">'إجمالي المستخلصات_'!$3:$4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3" i="1" l="1"/>
  <c r="A71" i="1"/>
  <c r="G68" i="1"/>
  <c r="D66" i="1"/>
  <c r="C64" i="1"/>
  <c r="K63" i="1"/>
  <c r="J63" i="1"/>
  <c r="I63" i="1"/>
  <c r="L62" i="1"/>
  <c r="D62" i="1"/>
  <c r="E62" i="1" s="1"/>
  <c r="F61" i="1"/>
  <c r="G61" i="1" s="1"/>
  <c r="H61" i="1" s="1"/>
  <c r="E61" i="1"/>
  <c r="E60" i="1"/>
  <c r="F60" i="1" s="1"/>
  <c r="G60" i="1" s="1"/>
  <c r="H60" i="1" s="1"/>
  <c r="E59" i="1"/>
  <c r="F59" i="1" s="1"/>
  <c r="G59" i="1" s="1"/>
  <c r="H59" i="1" s="1"/>
  <c r="E58" i="1"/>
  <c r="F58" i="1" s="1"/>
  <c r="G58" i="1" s="1"/>
  <c r="H58" i="1" s="1"/>
  <c r="E57" i="1"/>
  <c r="F57" i="1" s="1"/>
  <c r="E56" i="1"/>
  <c r="F56" i="1" s="1"/>
  <c r="G56" i="1" s="1"/>
  <c r="H56" i="1" s="1"/>
  <c r="E55" i="1"/>
  <c r="F55" i="1" s="1"/>
  <c r="G55" i="1" s="1"/>
  <c r="H55" i="1" s="1"/>
  <c r="E54" i="1"/>
  <c r="F54" i="1" s="1"/>
  <c r="F53" i="1"/>
  <c r="G53" i="1" s="1"/>
  <c r="E53" i="1"/>
  <c r="L52" i="1"/>
  <c r="I69" i="1" s="1"/>
  <c r="F52" i="1"/>
  <c r="D52" i="1"/>
  <c r="F51" i="1"/>
  <c r="F50" i="1"/>
  <c r="G49" i="1"/>
  <c r="H49" i="1" s="1"/>
  <c r="F49" i="1"/>
  <c r="F48" i="1"/>
  <c r="F47" i="1"/>
  <c r="F46" i="1"/>
  <c r="F45" i="1"/>
  <c r="M44" i="1"/>
  <c r="F44" i="1"/>
  <c r="G44" i="1" s="1"/>
  <c r="H44" i="1" s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G29" i="1" s="1"/>
  <c r="H29" i="1" s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G14" i="1" s="1"/>
  <c r="H14" i="1" s="1"/>
  <c r="F13" i="1"/>
  <c r="F12" i="1"/>
  <c r="F11" i="1"/>
  <c r="F10" i="1"/>
  <c r="F9" i="1"/>
  <c r="G9" i="1" s="1"/>
  <c r="H9" i="1" s="1"/>
  <c r="F8" i="1"/>
  <c r="F7" i="1"/>
  <c r="F6" i="1"/>
  <c r="F5" i="1"/>
  <c r="F62" i="1" l="1"/>
  <c r="F63" i="1" s="1"/>
  <c r="G54" i="1"/>
  <c r="H54" i="1" s="1"/>
  <c r="H53" i="1"/>
  <c r="H62" i="1" s="1"/>
  <c r="G62" i="1"/>
  <c r="D63" i="1"/>
  <c r="M52" i="1"/>
  <c r="G64" i="1" s="1"/>
  <c r="C66" i="1"/>
  <c r="D68" i="1"/>
  <c r="D71" i="1"/>
  <c r="G51" i="1"/>
  <c r="H51" i="1"/>
  <c r="G50" i="1"/>
  <c r="H50" i="1"/>
  <c r="G48" i="1"/>
  <c r="H48" i="1" s="1"/>
  <c r="G47" i="1"/>
  <c r="H47" i="1" s="1"/>
  <c r="G46" i="1"/>
  <c r="H46" i="1" s="1"/>
  <c r="G45" i="1"/>
  <c r="H45" i="1" s="1"/>
  <c r="G43" i="1"/>
  <c r="H43" i="1" s="1"/>
  <c r="G42" i="1"/>
  <c r="H42" i="1" s="1"/>
  <c r="G41" i="1"/>
  <c r="H41" i="1" s="1"/>
  <c r="G40" i="1"/>
  <c r="H40" i="1"/>
  <c r="G39" i="1"/>
  <c r="H39" i="1"/>
  <c r="G38" i="1"/>
  <c r="H38" i="1"/>
  <c r="G37" i="1"/>
  <c r="H37" i="1" s="1"/>
  <c r="G36" i="1"/>
  <c r="H36" i="1" s="1"/>
  <c r="G35" i="1"/>
  <c r="H35" i="1" s="1"/>
  <c r="G34" i="1"/>
  <c r="H34" i="1"/>
  <c r="G33" i="1"/>
  <c r="H33" i="1"/>
  <c r="G32" i="1"/>
  <c r="H32" i="1" s="1"/>
  <c r="G31" i="1"/>
  <c r="H31" i="1"/>
  <c r="G30" i="1"/>
  <c r="H30" i="1"/>
  <c r="G28" i="1"/>
  <c r="H28" i="1"/>
  <c r="G27" i="1"/>
  <c r="H27" i="1"/>
  <c r="G26" i="1"/>
  <c r="H26" i="1"/>
  <c r="G25" i="1"/>
  <c r="H25" i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/>
  <c r="G18" i="1"/>
  <c r="H18" i="1" s="1"/>
  <c r="G17" i="1"/>
  <c r="H17" i="1" s="1"/>
  <c r="G16" i="1"/>
  <c r="H16" i="1" s="1"/>
  <c r="G15" i="1"/>
  <c r="H15" i="1" s="1"/>
  <c r="G13" i="1"/>
  <c r="H13" i="1" s="1"/>
  <c r="G12" i="1"/>
  <c r="H12" i="1" s="1"/>
  <c r="G11" i="1"/>
  <c r="H11" i="1"/>
  <c r="G10" i="1"/>
  <c r="H10" i="1" s="1"/>
  <c r="G8" i="1"/>
  <c r="H8" i="1" s="1"/>
  <c r="G7" i="1"/>
  <c r="H7" i="1" s="1"/>
  <c r="G6" i="1"/>
  <c r="H6" i="1"/>
  <c r="G5" i="1"/>
  <c r="H5" i="1" s="1"/>
  <c r="F68" i="1" l="1"/>
  <c r="C69" i="1"/>
  <c r="D70" i="1"/>
  <c r="G52" i="1"/>
  <c r="G63" i="1" s="1"/>
  <c r="H52" i="1"/>
  <c r="H63" i="1" s="1"/>
</calcChain>
</file>

<file path=xl/sharedStrings.xml><?xml version="1.0" encoding="utf-8"?>
<sst xmlns="http://schemas.openxmlformats.org/spreadsheetml/2006/main" count="240" uniqueCount="146">
  <si>
    <t xml:space="preserve"> اتفاقية الخدمات الهندسية والإستشارية لتقديم خدمات الاشراف على تنفيذ مشاريع المياه والصرف الصحي بالقطاع الجنوبي </t>
  </si>
  <si>
    <t>بيان المستخلصات</t>
  </si>
  <si>
    <t>البيان</t>
  </si>
  <si>
    <t>رقم</t>
  </si>
  <si>
    <t>الشهر</t>
  </si>
  <si>
    <t>قيمة المستخلص
 بدون ضريبة (قبل الخصم)</t>
  </si>
  <si>
    <t>حجز 10% للمستخلص الختامي</t>
  </si>
  <si>
    <t xml:space="preserve">قيمة المستخلص  الجاري رقم (33) (بعد حجز 10% &amp; الخصومات) بدون ضريبة </t>
  </si>
  <si>
    <t>القيمة المضافة
 15%</t>
  </si>
  <si>
    <t xml:space="preserve">اجمالي قيمة المستخلص
 شامل الضريبة </t>
  </si>
  <si>
    <t xml:space="preserve">الفترة </t>
  </si>
  <si>
    <t>الحالة</t>
  </si>
  <si>
    <t>الخصم</t>
  </si>
  <si>
    <t>PO</t>
  </si>
  <si>
    <t xml:space="preserve">من </t>
  </si>
  <si>
    <t xml:space="preserve">إلي </t>
  </si>
  <si>
    <t>مستخلص رقم  (1)</t>
  </si>
  <si>
    <t>سبتمبر_2023</t>
  </si>
  <si>
    <t xml:space="preserve">تم الصرف </t>
  </si>
  <si>
    <t>مستخلص رقم  (2)</t>
  </si>
  <si>
    <t>أكتوبر- 2023</t>
  </si>
  <si>
    <t>مستخلص رقم  (3)</t>
  </si>
  <si>
    <t>نوفمبر- 2023</t>
  </si>
  <si>
    <t>مستخلص رقم (4)</t>
  </si>
  <si>
    <t>ديسمبر- 2023</t>
  </si>
  <si>
    <t>مستخلص رقم  (5)</t>
  </si>
  <si>
    <t>يناير_2024</t>
  </si>
  <si>
    <t>31/01/2024</t>
  </si>
  <si>
    <t>مستخلص رقم  (6)</t>
  </si>
  <si>
    <t>فبراير_2024</t>
  </si>
  <si>
    <t>28/2/2024</t>
  </si>
  <si>
    <t>مستخلص رقم  (7)</t>
  </si>
  <si>
    <t>مارس_2024</t>
  </si>
  <si>
    <t>31/3/2024</t>
  </si>
  <si>
    <t>مستخلص رقم  (8)</t>
  </si>
  <si>
    <t>أبريل_2024</t>
  </si>
  <si>
    <t>30/4/2024</t>
  </si>
  <si>
    <t>مستخلص رقم  (9)</t>
  </si>
  <si>
    <t>مايو_2024</t>
  </si>
  <si>
    <t>31/05/2024</t>
  </si>
  <si>
    <t>مستخلص رقم  (10)</t>
  </si>
  <si>
    <t>يونيو_2024</t>
  </si>
  <si>
    <t>30/06/2024</t>
  </si>
  <si>
    <t>مستخلص رقم  (11)</t>
  </si>
  <si>
    <t>يوليو_2024</t>
  </si>
  <si>
    <t>31/07/2024</t>
  </si>
  <si>
    <t>مستخلص رقم  (12)</t>
  </si>
  <si>
    <t>أغسطس_2024</t>
  </si>
  <si>
    <t>30/08/2024</t>
  </si>
  <si>
    <t>مستخلص رقم  (13)</t>
  </si>
  <si>
    <t>سبتمبر_2024</t>
  </si>
  <si>
    <t>30/09/2024</t>
  </si>
  <si>
    <t>جاري الاعتماد</t>
  </si>
  <si>
    <t>مستخلص رقم  (14 A)</t>
  </si>
  <si>
    <t>أكتوبر- 2024</t>
  </si>
  <si>
    <t>31/10/2024</t>
  </si>
  <si>
    <t>مستخلص رقم  (14 B)</t>
  </si>
  <si>
    <t>اعتمد ولم يصرف</t>
  </si>
  <si>
    <t>مستخلص رقم  (14 C)</t>
  </si>
  <si>
    <t>مستخلص رقم  (15 A)</t>
  </si>
  <si>
    <t>نوفمبر- 2024</t>
  </si>
  <si>
    <t>30/11/2024</t>
  </si>
  <si>
    <t>مستخلص رقم  (15 B)</t>
  </si>
  <si>
    <t>مستخلص رقم  (15 C)</t>
  </si>
  <si>
    <t>خصم</t>
  </si>
  <si>
    <t>مستخلص رقم  (16 A)</t>
  </si>
  <si>
    <t>ديسمبر- 2024</t>
  </si>
  <si>
    <t>مستخلص رقم  (16 B)</t>
  </si>
  <si>
    <t>31/12/2024</t>
  </si>
  <si>
    <t>مستخلص رقم  (17 A)</t>
  </si>
  <si>
    <t xml:space="preserve"> يناير-2025</t>
  </si>
  <si>
    <t>31/1/2025</t>
  </si>
  <si>
    <t>مستخلص رقم  (17 B)</t>
  </si>
  <si>
    <t>مستخلص رقم  (18 A)</t>
  </si>
  <si>
    <t xml:space="preserve"> فبراير-2025</t>
  </si>
  <si>
    <t>28/2/2025</t>
  </si>
  <si>
    <t>مستخلص رقم  (18 B)</t>
  </si>
  <si>
    <t>مستخلص رقم  (19)</t>
  </si>
  <si>
    <t xml:space="preserve"> مارس-2025</t>
  </si>
  <si>
    <t>31/3/2025</t>
  </si>
  <si>
    <t>خصم غياب</t>
  </si>
  <si>
    <t>مستخلص رقم  (20)</t>
  </si>
  <si>
    <t xml:space="preserve"> أبريل-2025</t>
  </si>
  <si>
    <t>30/4/2025</t>
  </si>
  <si>
    <t>مستخلص رقم  (21_A)</t>
  </si>
  <si>
    <t xml:space="preserve"> مايو-2025</t>
  </si>
  <si>
    <t>31/5/2025</t>
  </si>
  <si>
    <t>مستخلص رقم  (21_B)</t>
  </si>
  <si>
    <t>مستخلص رقم  (22 A)</t>
  </si>
  <si>
    <t xml:space="preserve"> يونيو-2025</t>
  </si>
  <si>
    <t>30/6/2025</t>
  </si>
  <si>
    <t>مستخلص رقم  (22 B)</t>
  </si>
  <si>
    <t>مستخلص رقم  (22_C)</t>
  </si>
  <si>
    <t>مستخلص رقم  (22_D)</t>
  </si>
  <si>
    <t>مستخلص رقم  (23_A)</t>
  </si>
  <si>
    <t xml:space="preserve"> يوليو-2025</t>
  </si>
  <si>
    <t>31/7/2025</t>
  </si>
  <si>
    <t>مستخلص رقم  (23_B)</t>
  </si>
  <si>
    <t>مستخلص رقم  (23_C)</t>
  </si>
  <si>
    <t>مستخلص رقم  (24_A)</t>
  </si>
  <si>
    <t xml:space="preserve"> أغسطس-2025</t>
  </si>
  <si>
    <t>31/8/2025</t>
  </si>
  <si>
    <t>مستخلص رقم  (24_B)</t>
  </si>
  <si>
    <t>مستخلص رقم  (25_A)</t>
  </si>
  <si>
    <t xml:space="preserve"> سبتمبر-2025</t>
  </si>
  <si>
    <t>30/9/2025</t>
  </si>
  <si>
    <t>مستخلص رقم  (25_B)</t>
  </si>
  <si>
    <t>مستخلص رقم  (26_A)</t>
  </si>
  <si>
    <t>أكتوبر-2025</t>
  </si>
  <si>
    <t>31/10/2025</t>
  </si>
  <si>
    <t>مستخلص رقم  (26_B)</t>
  </si>
  <si>
    <t>مستخلص رقم  (26_C)</t>
  </si>
  <si>
    <t>مستخلص رقم  (27_A)</t>
  </si>
  <si>
    <t>نوفمبر-2025</t>
  </si>
  <si>
    <t>30/11/2025</t>
  </si>
  <si>
    <t>مستخلص رقم  (27_B)</t>
  </si>
  <si>
    <t>مستخلص رقم  (27_C)</t>
  </si>
  <si>
    <t>فارق</t>
  </si>
  <si>
    <t>إجمالي المنصرف</t>
  </si>
  <si>
    <t>مستخلص رقم  (27_D)</t>
  </si>
  <si>
    <t>مستخلص رقم  (28)</t>
  </si>
  <si>
    <t>ديسمبر-2025</t>
  </si>
  <si>
    <t>31/12/2025</t>
  </si>
  <si>
    <t>مستخلص رقم  (29)</t>
  </si>
  <si>
    <t>يناير -2026</t>
  </si>
  <si>
    <t>31/1/2026</t>
  </si>
  <si>
    <t>مستخلص رقم  (30)</t>
  </si>
  <si>
    <t>فبراير -2026</t>
  </si>
  <si>
    <t>28/2/2026</t>
  </si>
  <si>
    <t>مستخلص رقم  (31)</t>
  </si>
  <si>
    <t>مارس -2026</t>
  </si>
  <si>
    <t>31/3/2026</t>
  </si>
  <si>
    <t>مستخلص رقم  (32)</t>
  </si>
  <si>
    <t>أبريل -2026</t>
  </si>
  <si>
    <t>30/4/2026</t>
  </si>
  <si>
    <t>مستخلص رقم  (33)</t>
  </si>
  <si>
    <t>مايو -2026</t>
  </si>
  <si>
    <t>مستخلص رقم  (34)</t>
  </si>
  <si>
    <t>يونيو -2026</t>
  </si>
  <si>
    <t>31/5/2026</t>
  </si>
  <si>
    <t>مستخلص رقم  (35)</t>
  </si>
  <si>
    <t>يوليو -2026</t>
  </si>
  <si>
    <t>30/6/2026</t>
  </si>
  <si>
    <t>إجمالي المنصرف (من أمر التغيير)</t>
  </si>
  <si>
    <t xml:space="preserve">إجمالي </t>
  </si>
  <si>
    <t>المتبقي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</si>
</sst>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ر_._س_._‏_-;\-* #,##0.00\ _ر_._س_._‏_-;_-* &quot;-&quot;??\ _ر_._س_._‏_-;_-@_-"/>
    <numFmt numFmtId="166" formatCode="_-* #,##0\ _ر_._س_._‏_-;\-* #,##0\ _ر_._س_._‏_-;_-* &quot;-&quot;??\ _ر_._س_._‏_-;_-@_-"/>
  </numFmts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ngsanaUPC"/>
      <family val="1"/>
      <charset val="222"/>
    </font>
    <font>
      <b/>
      <sz val="14"/>
      <color theme="2"/>
      <name val="AngsanaUPC"/>
      <family val="1"/>
      <charset val="222"/>
    </font>
    <font>
      <b/>
      <sz val="10"/>
      <color theme="1"/>
      <name val="Arial"/>
      <family val="2"/>
      <scheme val="minor"/>
    </font>
    <font>
      <b/>
      <sz val="10"/>
      <color theme="1"/>
      <name val="AngsanaUPC"/>
      <family val="1"/>
      <charset val="222"/>
    </font>
    <font>
      <b/>
      <u val="double"/>
      <sz val="10"/>
      <color theme="2"/>
      <name val="Arial"/>
      <family val="2"/>
    </font>
    <font>
      <b/>
      <sz val="10"/>
      <color theme="2"/>
      <name val="Arial"/>
      <family val="2"/>
      <scheme val="minor"/>
    </font>
    <font>
      <b/>
      <sz val="10"/>
      <color rgb="FFC00000"/>
      <name val="Arial"/>
      <family val="2"/>
      <scheme val="minor"/>
    </font>
    <font>
      <b/>
      <u val="double"/>
      <sz val="10"/>
      <color rgb="FFFF0000"/>
      <name val="Arial"/>
      <family val="2"/>
    </font>
    <font>
      <b/>
      <sz val="10"/>
      <color rgb="FFFF0000"/>
      <name val="Arial"/>
      <family val="2"/>
      <scheme val="minor"/>
    </font>
    <font>
      <b/>
      <u val="double"/>
      <sz val="10"/>
      <color theme="3"/>
      <name val="Arial"/>
      <family val="2"/>
    </font>
    <font>
      <b/>
      <sz val="8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3" tint="0.74999237037263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3" tint="0.749992370372631"/>
      </bottom>
      <diagonal/>
    </border>
    <border>
      <left/>
      <right style="thin">
        <color theme="3" tint="0.749992370372631"/>
      </right>
      <top/>
      <bottom style="thin">
        <color theme="3" tint="0.74999237037263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4" fontId="2" fillId="0" borderId="0" xfId="3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4" fontId="2" fillId="0" borderId="0" xfId="3" applyFont="1" applyFill="1" applyBorder="1" applyAlignment="1">
      <alignment horizontal="center" vertical="center" wrapText="1"/>
    </xf>
    <xf numFmtId="164" fontId="4" fillId="2" borderId="1" xfId="3" applyFont="1" applyFill="1" applyBorder="1" applyAlignment="1">
      <alignment horizontal="center" vertical="center" wrapText="1"/>
    </xf>
    <xf numFmtId="1" fontId="5" fillId="2" borderId="2" xfId="3" applyNumberFormat="1" applyFont="1" applyFill="1" applyBorder="1" applyAlignment="1">
      <alignment horizontal="center" vertical="center" wrapText="1"/>
    </xf>
    <xf numFmtId="164" fontId="4" fillId="2" borderId="3" xfId="3" applyFont="1" applyFill="1" applyBorder="1" applyAlignment="1">
      <alignment horizontal="center" vertical="center" wrapText="1"/>
    </xf>
    <xf numFmtId="164" fontId="4" fillId="2" borderId="4" xfId="3" applyFont="1" applyFill="1" applyBorder="1" applyAlignment="1">
      <alignment horizontal="center" vertical="center" wrapText="1"/>
    </xf>
    <xf numFmtId="164" fontId="4" fillId="2" borderId="5" xfId="3" applyFont="1" applyFill="1" applyBorder="1" applyAlignment="1">
      <alignment horizontal="center" vertical="center" wrapText="1"/>
    </xf>
    <xf numFmtId="4" fontId="4" fillId="2" borderId="6" xfId="3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4" fillId="2" borderId="8" xfId="3" applyFont="1" applyFill="1" applyBorder="1" applyAlignment="1">
      <alignment horizontal="center" vertical="center" wrapText="1"/>
    </xf>
    <xf numFmtId="1" fontId="5" fillId="2" borderId="9" xfId="3" applyNumberFormat="1" applyFont="1" applyFill="1" applyBorder="1" applyAlignment="1">
      <alignment horizontal="center" vertical="center" wrapText="1"/>
    </xf>
    <xf numFmtId="164" fontId="4" fillId="2" borderId="10" xfId="3" applyFont="1" applyFill="1" applyBorder="1" applyAlignment="1">
      <alignment horizontal="center" vertical="center" wrapText="1"/>
    </xf>
    <xf numFmtId="164" fontId="4" fillId="2" borderId="11" xfId="3" applyFont="1" applyFill="1" applyBorder="1" applyAlignment="1">
      <alignment horizontal="center" vertical="center" wrapText="1"/>
    </xf>
    <xf numFmtId="4" fontId="4" fillId="2" borderId="12" xfId="3" applyNumberFormat="1" applyFont="1" applyFill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164" fontId="6" fillId="0" borderId="16" xfId="3" applyFont="1" applyFill="1" applyBorder="1" applyAlignment="1">
      <alignment horizontal="center" vertical="center"/>
    </xf>
    <xf numFmtId="14" fontId="6" fillId="0" borderId="16" xfId="3" applyNumberFormat="1" applyFont="1" applyFill="1" applyBorder="1" applyAlignment="1">
      <alignment horizontal="center" vertical="center"/>
    </xf>
    <xf numFmtId="164" fontId="7" fillId="0" borderId="16" xfId="3" applyFont="1" applyFill="1" applyBorder="1" applyAlignment="1">
      <alignment horizontal="center" vertical="center" wrapText="1"/>
    </xf>
    <xf numFmtId="4" fontId="7" fillId="0" borderId="17" xfId="3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64" fontId="6" fillId="0" borderId="19" xfId="3" applyFont="1" applyFill="1" applyBorder="1" applyAlignment="1">
      <alignment horizontal="center" vertical="center"/>
    </xf>
    <xf numFmtId="14" fontId="6" fillId="0" borderId="19" xfId="3" applyNumberFormat="1" applyFont="1" applyFill="1" applyBorder="1" applyAlignment="1">
      <alignment horizontal="center" vertical="center"/>
    </xf>
    <xf numFmtId="164" fontId="7" fillId="0" borderId="19" xfId="3" applyFont="1" applyFill="1" applyBorder="1" applyAlignment="1">
      <alignment horizontal="center" vertical="center" wrapText="1"/>
    </xf>
    <xf numFmtId="4" fontId="7" fillId="0" borderId="20" xfId="3" applyNumberFormat="1" applyFont="1" applyFill="1" applyBorder="1" applyAlignment="1">
      <alignment horizontal="center" vertical="center" wrapText="1"/>
    </xf>
    <xf numFmtId="164" fontId="7" fillId="0" borderId="21" xfId="3" applyFont="1" applyFill="1" applyBorder="1" applyAlignment="1">
      <alignment horizontal="center" vertical="center" wrapText="1"/>
    </xf>
    <xf numFmtId="164" fontId="3" fillId="0" borderId="0" xfId="3" applyFont="1" applyFill="1" applyBorder="1" applyAlignment="1">
      <alignment horizontal="center" vertical="center"/>
    </xf>
    <xf numFmtId="4" fontId="7" fillId="0" borderId="20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43" fontId="3" fillId="0" borderId="0" xfId="0" applyNumberFormat="1" applyFont="1" applyAlignment="1">
      <alignment horizontal="right" vertical="center"/>
    </xf>
    <xf numFmtId="14" fontId="6" fillId="3" borderId="18" xfId="0" applyNumberFormat="1" applyFont="1" applyFill="1" applyBorder="1" applyAlignment="1">
      <alignment horizontal="center" vertical="center"/>
    </xf>
    <xf numFmtId="164" fontId="6" fillId="0" borderId="15" xfId="3" applyFont="1" applyFill="1" applyBorder="1" applyAlignment="1">
      <alignment horizontal="center" vertical="center"/>
    </xf>
    <xf numFmtId="164" fontId="6" fillId="0" borderId="0" xfId="3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1" fontId="8" fillId="2" borderId="15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164" fontId="9" fillId="2" borderId="19" xfId="3" applyFont="1" applyFill="1" applyBorder="1" applyAlignment="1">
      <alignment horizontal="center" vertical="center"/>
    </xf>
    <xf numFmtId="164" fontId="9" fillId="2" borderId="19" xfId="3" applyFont="1" applyFill="1" applyBorder="1" applyAlignment="1">
      <alignment vertical="center"/>
    </xf>
    <xf numFmtId="165" fontId="9" fillId="2" borderId="19" xfId="1" applyFont="1" applyFill="1" applyBorder="1" applyAlignment="1">
      <alignment vertical="center"/>
    </xf>
    <xf numFmtId="4" fontId="9" fillId="2" borderId="20" xfId="1" applyNumberFormat="1" applyFont="1" applyFill="1" applyBorder="1" applyAlignment="1">
      <alignment horizontal="center" vertical="center"/>
    </xf>
    <xf numFmtId="43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6" fillId="0" borderId="24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66" fontId="10" fillId="0" borderId="11" xfId="1" applyNumberFormat="1" applyFont="1" applyFill="1" applyBorder="1" applyAlignment="1">
      <alignment vertical="center"/>
    </xf>
    <xf numFmtId="164" fontId="10" fillId="0" borderId="11" xfId="3" applyFont="1" applyFill="1" applyBorder="1" applyAlignment="1">
      <alignment vertical="center"/>
    </xf>
    <xf numFmtId="14" fontId="6" fillId="0" borderId="11" xfId="3" applyNumberFormat="1" applyFont="1" applyFill="1" applyBorder="1" applyAlignment="1">
      <alignment horizontal="center" vertical="center"/>
    </xf>
    <xf numFmtId="43" fontId="10" fillId="0" borderId="11" xfId="0" applyNumberFormat="1" applyFont="1" applyBorder="1" applyAlignment="1">
      <alignment horizontal="center" vertical="center"/>
    </xf>
    <xf numFmtId="4" fontId="10" fillId="0" borderId="25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166" fontId="10" fillId="0" borderId="21" xfId="1" applyNumberFormat="1" applyFont="1" applyFill="1" applyBorder="1" applyAlignment="1">
      <alignment vertical="center"/>
    </xf>
    <xf numFmtId="4" fontId="10" fillId="0" borderId="27" xfId="2" applyNumberFormat="1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1" fontId="8" fillId="2" borderId="26" xfId="0" applyNumberFormat="1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164" fontId="9" fillId="2" borderId="21" xfId="3" applyFont="1" applyFill="1" applyBorder="1" applyAlignment="1">
      <alignment horizontal="center" vertical="center"/>
    </xf>
    <xf numFmtId="164" fontId="9" fillId="2" borderId="21" xfId="3" applyFont="1" applyFill="1" applyBorder="1" applyAlignment="1">
      <alignment vertical="center"/>
    </xf>
    <xf numFmtId="165" fontId="9" fillId="2" borderId="21" xfId="1" applyFont="1" applyFill="1" applyBorder="1" applyAlignment="1">
      <alignment vertical="center"/>
    </xf>
    <xf numFmtId="4" fontId="9" fillId="2" borderId="27" xfId="1" applyNumberFormat="1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1" fontId="8" fillId="4" borderId="30" xfId="0" applyNumberFormat="1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164" fontId="12" fillId="4" borderId="30" xfId="3" applyFont="1" applyFill="1" applyBorder="1" applyAlignment="1">
      <alignment horizontal="center" vertical="center"/>
    </xf>
    <xf numFmtId="164" fontId="12" fillId="4" borderId="31" xfId="3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43" fontId="8" fillId="5" borderId="0" xfId="0" applyNumberFormat="1" applyFont="1" applyFill="1" applyAlignment="1">
      <alignment horizontal="center" vertical="center"/>
    </xf>
    <xf numFmtId="164" fontId="9" fillId="5" borderId="0" xfId="3" applyFont="1" applyFill="1" applyBorder="1" applyAlignment="1">
      <alignment horizontal="center" vertical="center"/>
    </xf>
    <xf numFmtId="164" fontId="9" fillId="5" borderId="0" xfId="3" applyFont="1" applyFill="1" applyBorder="1" applyAlignment="1">
      <alignment vertical="center"/>
    </xf>
    <xf numFmtId="165" fontId="9" fillId="5" borderId="0" xfId="1" applyFont="1" applyFill="1" applyBorder="1" applyAlignment="1">
      <alignment vertical="center"/>
    </xf>
    <xf numFmtId="4" fontId="9" fillId="5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5" fontId="10" fillId="0" borderId="0" xfId="1" applyFont="1" applyFill="1" applyBorder="1" applyAlignment="1">
      <alignment vertical="center"/>
    </xf>
    <xf numFmtId="166" fontId="10" fillId="0" borderId="0" xfId="1" applyNumberFormat="1" applyFont="1" applyFill="1" applyBorder="1" applyAlignment="1">
      <alignment vertical="center"/>
    </xf>
    <xf numFmtId="164" fontId="10" fillId="0" borderId="0" xfId="3" applyFont="1" applyFill="1" applyBorder="1" applyAlignment="1">
      <alignment vertical="center"/>
    </xf>
    <xf numFmtId="165" fontId="10" fillId="0" borderId="0" xfId="1" applyFont="1" applyFill="1" applyBorder="1" applyAlignment="1">
      <alignment horizontal="right" vertical="center"/>
    </xf>
    <xf numFmtId="164" fontId="10" fillId="0" borderId="0" xfId="3" applyFont="1" applyFill="1" applyBorder="1" applyAlignment="1">
      <alignment horizontal="right" vertical="center"/>
    </xf>
    <xf numFmtId="43" fontId="10" fillId="0" borderId="0" xfId="0" applyNumberFormat="1" applyFont="1" applyAlignment="1">
      <alignment horizontal="center" vertical="center"/>
    </xf>
    <xf numFmtId="4" fontId="10" fillId="0" borderId="0" xfId="1" applyNumberFormat="1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1" fontId="13" fillId="6" borderId="0" xfId="0" applyNumberFormat="1" applyFont="1" applyFill="1" applyAlignment="1">
      <alignment horizontal="center" vertical="center"/>
    </xf>
    <xf numFmtId="43" fontId="13" fillId="6" borderId="0" xfId="0" applyNumberFormat="1" applyFont="1" applyFill="1" applyAlignment="1">
      <alignment horizontal="center" vertical="center"/>
    </xf>
    <xf numFmtId="164" fontId="6" fillId="7" borderId="0" xfId="3" applyFont="1" applyFill="1" applyAlignment="1">
      <alignment horizontal="center" vertical="center"/>
    </xf>
    <xf numFmtId="164" fontId="3" fillId="0" borderId="0" xfId="3" applyFont="1" applyFill="1" applyBorder="1" applyAlignment="1">
      <alignment horizontal="right" vertical="center"/>
    </xf>
    <xf numFmtId="165" fontId="14" fillId="0" borderId="0" xfId="1" applyFont="1" applyFill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3" applyFont="1" applyFill="1" applyAlignment="1">
      <alignment horizontal="center" vertical="center"/>
    </xf>
    <xf numFmtId="165" fontId="3" fillId="0" borderId="0" xfId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3" fillId="0" borderId="0" xfId="3" applyFont="1" applyFill="1" applyAlignment="1">
      <alignment horizontal="right" vertical="center"/>
    </xf>
  </cellXfs>
  <cellStyles count="4">
    <cellStyle name="Comma" xfId="1" builtinId="3"/>
    <cellStyle name="Comma 2" xfId="3" xr:uid="{0624C119-A421-4C09-9109-272C840E1611}"/>
    <cellStyle name="Normal" xfId="0" builtinId="0"/>
    <cellStyle name="Percent" xfId="2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139700</xdr:colOff>
      <xdr:row>0</xdr:row>
      <xdr:rowOff>88901</xdr:rowOff>
    </xdr:from>
    <xdr:to>
      <xdr:col>11</xdr:col>
      <xdr:colOff>501650</xdr:colOff>
      <xdr:row>1</xdr:row>
      <xdr:rowOff>309269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AF8E0-56E1-4791-8F7E-3D1D19337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305710" y="88901"/>
          <a:ext cx="1306830" cy="3956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1270</xdr:colOff>
      <xdr:row>1</xdr:row>
      <xdr:rowOff>310498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D2AB6B-410E-441C-8E99-3C91AC9F5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0999870" y="0"/>
          <a:ext cx="1525270" cy="485758"/>
        </a:xfrm>
        <a:prstGeom prst="rect">
          <a:avLst/>
        </a:prstGeom>
      </xdr:spPr>
    </xdr:pic>
    <xdr:clientData/>
  </xdr:twoCellAnchor>
  <xdr:twoCellAnchor editAs="oneCell">
    <xdr:from>
      <xdr:col>7</xdr:col>
      <xdr:colOff>1097280</xdr:colOff>
      <xdr:row>63</xdr:row>
      <xdr:rowOff>69869</xdr:rowOff>
    </xdr:from>
    <xdr:to>
      <xdr:col>11</xdr:col>
      <xdr:colOff>152400</xdr:colOff>
      <xdr:row>69</xdr:row>
      <xdr:rowOff>71398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4BC59B-505F-49A3-99E1-0ADD96F5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9654960" y="12170429"/>
          <a:ext cx="3322320" cy="1007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8602-B18F-4619-A979-F7ED5BA7614E}">
  <sheetPr>
    <tabColor theme="2" tint="-0.89999084444715716"/>
    <pageSetUpPr fitToPage="1"/>
  </sheetPr>
  <dimension ref="A1:AB77"/>
  <sheetViews>
    <sheetView rightToLeft="1" tabSelected="1" view="pageBreakPreview" topLeftCell="A39" zoomScaleNormal="100" zoomScaleSheetLayoutView="100" workbookViewId="0">
      <selection activeCell="G53" sqref="G53"/>
    </sheetView>
  </sheetViews>
  <sheetFormatPr defaultColWidth="9" defaultRowHeight="13.2" x14ac:dyDescent="0.25"/>
  <cols>
    <col min="1" max="1" width="20" style="25" customWidth="1"/>
    <col min="2" max="2" width="9" style="97" bestFit="1" customWidth="1"/>
    <col min="3" max="3" width="13.59765625" style="25" bestFit="1" customWidth="1"/>
    <col min="4" max="4" width="17.3984375" style="98" bestFit="1" customWidth="1"/>
    <col min="5" max="5" width="17.09765625" style="98" bestFit="1" customWidth="1"/>
    <col min="6" max="6" width="17.3984375" style="98" bestFit="1" customWidth="1"/>
    <col min="7" max="7" width="16.3984375" style="98" bestFit="1" customWidth="1"/>
    <col min="8" max="8" width="17.3984375" style="102" bestFit="1" customWidth="1"/>
    <col min="9" max="9" width="13.59765625" style="102" bestFit="1" customWidth="1"/>
    <col min="10" max="10" width="12.59765625" style="102" bestFit="1" customWidth="1"/>
    <col min="11" max="11" width="12.3984375" style="25" customWidth="1"/>
    <col min="12" max="12" width="10.296875" style="96" bestFit="1" customWidth="1"/>
    <col min="13" max="13" width="13.59765625" style="25" bestFit="1" customWidth="1"/>
    <col min="14" max="14" width="18.8984375" style="25" bestFit="1" customWidth="1"/>
    <col min="15" max="16384" width="9" style="25"/>
  </cols>
  <sheetData>
    <row r="1" spans="1:28" s="1" customFormat="1" ht="13.8" x14ac:dyDescent="0.25">
      <c r="B1" s="2"/>
      <c r="D1" s="3" t="s">
        <v>0</v>
      </c>
      <c r="E1" s="3"/>
      <c r="F1" s="3"/>
      <c r="G1" s="3"/>
      <c r="H1" s="3"/>
      <c r="I1" s="3"/>
      <c r="J1" s="3"/>
      <c r="L1" s="4"/>
    </row>
    <row r="2" spans="1:28" s="1" customFormat="1" ht="33" customHeight="1" thickBot="1" x14ac:dyDescent="0.3">
      <c r="B2" s="2"/>
      <c r="D2" s="5"/>
      <c r="E2" s="5"/>
      <c r="F2" s="3" t="s">
        <v>1</v>
      </c>
      <c r="G2" s="3"/>
      <c r="H2" s="3"/>
      <c r="I2" s="5"/>
      <c r="J2" s="5"/>
      <c r="L2" s="4"/>
    </row>
    <row r="3" spans="1:28" s="1" customFormat="1" ht="30" customHeight="1" x14ac:dyDescent="0.25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9" t="s">
        <v>10</v>
      </c>
      <c r="J3" s="10"/>
      <c r="K3" s="8" t="s">
        <v>11</v>
      </c>
      <c r="L3" s="11" t="s">
        <v>12</v>
      </c>
      <c r="AB3" s="12"/>
    </row>
    <row r="4" spans="1:28" s="1" customFormat="1" ht="21" thickBot="1" x14ac:dyDescent="0.3">
      <c r="A4" s="13"/>
      <c r="B4" s="14" t="s">
        <v>13</v>
      </c>
      <c r="C4" s="15"/>
      <c r="D4" s="15"/>
      <c r="E4" s="15"/>
      <c r="F4" s="15"/>
      <c r="G4" s="15"/>
      <c r="H4" s="15"/>
      <c r="I4" s="16" t="s">
        <v>14</v>
      </c>
      <c r="J4" s="16" t="s">
        <v>15</v>
      </c>
      <c r="K4" s="15"/>
      <c r="L4" s="17"/>
      <c r="AB4" s="12"/>
    </row>
    <row r="5" spans="1:28" ht="15" x14ac:dyDescent="0.25">
      <c r="A5" s="18" t="s">
        <v>16</v>
      </c>
      <c r="B5" s="19">
        <v>1</v>
      </c>
      <c r="C5" s="20" t="s">
        <v>17</v>
      </c>
      <c r="D5" s="21">
        <v>89766.67</v>
      </c>
      <c r="E5" s="21"/>
      <c r="F5" s="21">
        <f>D5-L5</f>
        <v>89766.67</v>
      </c>
      <c r="G5" s="21">
        <f>0.15*F5</f>
        <v>13465.0005</v>
      </c>
      <c r="H5" s="21">
        <f>F5+G5</f>
        <v>103231.67049999999</v>
      </c>
      <c r="I5" s="22">
        <v>45187</v>
      </c>
      <c r="J5" s="22">
        <v>45199</v>
      </c>
      <c r="K5" s="23" t="s">
        <v>18</v>
      </c>
      <c r="L5" s="24"/>
      <c r="AB5" s="26"/>
    </row>
    <row r="6" spans="1:28" ht="15" x14ac:dyDescent="0.25">
      <c r="A6" s="27" t="s">
        <v>19</v>
      </c>
      <c r="B6" s="28">
        <v>1</v>
      </c>
      <c r="C6" s="20" t="s">
        <v>20</v>
      </c>
      <c r="D6" s="29">
        <v>872838.71</v>
      </c>
      <c r="E6" s="29"/>
      <c r="F6" s="29">
        <f t="shared" ref="F6:F51" si="0">D6-L6</f>
        <v>872838.71</v>
      </c>
      <c r="G6" s="29">
        <f t="shared" ref="G6:G51" si="1">0.15*F6</f>
        <v>130925.80649999999</v>
      </c>
      <c r="H6" s="29">
        <f t="shared" ref="H6:H51" si="2">F6+G6</f>
        <v>1003764.5164999999</v>
      </c>
      <c r="I6" s="30">
        <v>45200</v>
      </c>
      <c r="J6" s="30">
        <v>45230</v>
      </c>
      <c r="K6" s="31" t="s">
        <v>18</v>
      </c>
      <c r="L6" s="32"/>
      <c r="AB6" s="26"/>
    </row>
    <row r="7" spans="1:28" ht="15" x14ac:dyDescent="0.25">
      <c r="A7" s="27" t="s">
        <v>21</v>
      </c>
      <c r="B7" s="19">
        <v>1</v>
      </c>
      <c r="C7" s="20" t="s">
        <v>22</v>
      </c>
      <c r="D7" s="29">
        <v>1370933.33</v>
      </c>
      <c r="E7" s="29"/>
      <c r="F7" s="29">
        <f t="shared" si="0"/>
        <v>1370933.33</v>
      </c>
      <c r="G7" s="29">
        <f t="shared" si="1"/>
        <v>205639.99950000001</v>
      </c>
      <c r="H7" s="29">
        <f t="shared" si="2"/>
        <v>1576573.3295</v>
      </c>
      <c r="I7" s="30">
        <v>45231</v>
      </c>
      <c r="J7" s="30">
        <v>45260</v>
      </c>
      <c r="K7" s="31" t="s">
        <v>18</v>
      </c>
      <c r="L7" s="32"/>
      <c r="AB7" s="26"/>
    </row>
    <row r="8" spans="1:28" ht="15" x14ac:dyDescent="0.25">
      <c r="A8" s="27" t="s">
        <v>23</v>
      </c>
      <c r="B8" s="28">
        <v>1</v>
      </c>
      <c r="C8" s="20" t="s">
        <v>24</v>
      </c>
      <c r="D8" s="29">
        <v>1535967.74</v>
      </c>
      <c r="E8" s="29"/>
      <c r="F8" s="29">
        <f t="shared" si="0"/>
        <v>1535967.74</v>
      </c>
      <c r="G8" s="29">
        <f t="shared" si="1"/>
        <v>230395.16099999999</v>
      </c>
      <c r="H8" s="29">
        <f t="shared" si="2"/>
        <v>1766362.9010000001</v>
      </c>
      <c r="I8" s="30">
        <v>45261</v>
      </c>
      <c r="J8" s="30">
        <v>45291</v>
      </c>
      <c r="K8" s="31" t="s">
        <v>18</v>
      </c>
      <c r="L8" s="32"/>
      <c r="AB8" s="26"/>
    </row>
    <row r="9" spans="1:28" ht="15" x14ac:dyDescent="0.25">
      <c r="A9" s="27" t="s">
        <v>25</v>
      </c>
      <c r="B9" s="19">
        <v>1</v>
      </c>
      <c r="C9" s="20" t="s">
        <v>26</v>
      </c>
      <c r="D9" s="29">
        <v>1850838.71</v>
      </c>
      <c r="E9" s="29"/>
      <c r="F9" s="29">
        <f t="shared" si="0"/>
        <v>1850838.71</v>
      </c>
      <c r="G9" s="29">
        <f t="shared" si="1"/>
        <v>277625.80650000001</v>
      </c>
      <c r="H9" s="29">
        <f t="shared" si="2"/>
        <v>2128464.5164999999</v>
      </c>
      <c r="I9" s="30">
        <v>45292</v>
      </c>
      <c r="J9" s="30" t="s">
        <v>27</v>
      </c>
      <c r="K9" s="31" t="s">
        <v>18</v>
      </c>
      <c r="L9" s="32"/>
      <c r="AB9" s="26"/>
    </row>
    <row r="10" spans="1:28" ht="15" x14ac:dyDescent="0.25">
      <c r="A10" s="27" t="s">
        <v>28</v>
      </c>
      <c r="B10" s="28">
        <v>1</v>
      </c>
      <c r="C10" s="20" t="s">
        <v>29</v>
      </c>
      <c r="D10" s="29">
        <v>2212000</v>
      </c>
      <c r="E10" s="29"/>
      <c r="F10" s="29">
        <f t="shared" si="0"/>
        <v>2212000</v>
      </c>
      <c r="G10" s="29">
        <f t="shared" si="1"/>
        <v>331800</v>
      </c>
      <c r="H10" s="29">
        <f t="shared" si="2"/>
        <v>2543800</v>
      </c>
      <c r="I10" s="30">
        <v>45293</v>
      </c>
      <c r="J10" s="30" t="s">
        <v>30</v>
      </c>
      <c r="K10" s="31" t="s">
        <v>18</v>
      </c>
      <c r="L10" s="32"/>
      <c r="AB10" s="26"/>
    </row>
    <row r="11" spans="1:28" ht="15" x14ac:dyDescent="0.25">
      <c r="A11" s="27" t="s">
        <v>31</v>
      </c>
      <c r="B11" s="19">
        <v>1</v>
      </c>
      <c r="C11" s="20" t="s">
        <v>32</v>
      </c>
      <c r="D11" s="29">
        <v>2328129.0329999998</v>
      </c>
      <c r="E11" s="29"/>
      <c r="F11" s="29">
        <f t="shared" si="0"/>
        <v>2328129.0329999998</v>
      </c>
      <c r="G11" s="29">
        <f t="shared" si="1"/>
        <v>349219.35494999995</v>
      </c>
      <c r="H11" s="29">
        <f t="shared" si="2"/>
        <v>2677348.3879499999</v>
      </c>
      <c r="I11" s="30">
        <v>45294</v>
      </c>
      <c r="J11" s="30" t="s">
        <v>33</v>
      </c>
      <c r="K11" s="31" t="s">
        <v>18</v>
      </c>
      <c r="L11" s="32"/>
      <c r="AB11" s="26"/>
    </row>
    <row r="12" spans="1:28" ht="15" x14ac:dyDescent="0.25">
      <c r="A12" s="27" t="s">
        <v>34</v>
      </c>
      <c r="B12" s="28">
        <v>1</v>
      </c>
      <c r="C12" s="20" t="s">
        <v>35</v>
      </c>
      <c r="D12" s="29">
        <v>2334633.2999999998</v>
      </c>
      <c r="E12" s="29"/>
      <c r="F12" s="29">
        <f t="shared" si="0"/>
        <v>2334633.2999999998</v>
      </c>
      <c r="G12" s="29">
        <f t="shared" si="1"/>
        <v>350194.99499999994</v>
      </c>
      <c r="H12" s="29">
        <f t="shared" si="2"/>
        <v>2684828.2949999999</v>
      </c>
      <c r="I12" s="30">
        <v>45295</v>
      </c>
      <c r="J12" s="30" t="s">
        <v>36</v>
      </c>
      <c r="K12" s="31" t="s">
        <v>18</v>
      </c>
      <c r="L12" s="32"/>
      <c r="AB12" s="26"/>
    </row>
    <row r="13" spans="1:28" ht="15" x14ac:dyDescent="0.25">
      <c r="A13" s="27" t="s">
        <v>37</v>
      </c>
      <c r="B13" s="28">
        <v>2</v>
      </c>
      <c r="C13" s="20" t="s">
        <v>38</v>
      </c>
      <c r="D13" s="29">
        <v>2469645.2000000002</v>
      </c>
      <c r="E13" s="29"/>
      <c r="F13" s="29">
        <f t="shared" si="0"/>
        <v>2469645.2000000002</v>
      </c>
      <c r="G13" s="29">
        <f t="shared" si="1"/>
        <v>370446.78</v>
      </c>
      <c r="H13" s="29">
        <f t="shared" si="2"/>
        <v>2840091.9800000004</v>
      </c>
      <c r="I13" s="30">
        <v>45296</v>
      </c>
      <c r="J13" s="30" t="s">
        <v>39</v>
      </c>
      <c r="K13" s="31" t="s">
        <v>18</v>
      </c>
      <c r="L13" s="32"/>
      <c r="AB13" s="26"/>
    </row>
    <row r="14" spans="1:28" ht="15" x14ac:dyDescent="0.25">
      <c r="A14" s="27" t="s">
        <v>40</v>
      </c>
      <c r="B14" s="28">
        <v>2</v>
      </c>
      <c r="C14" s="20" t="s">
        <v>41</v>
      </c>
      <c r="D14" s="29">
        <v>3257400</v>
      </c>
      <c r="E14" s="29"/>
      <c r="F14" s="29">
        <f t="shared" si="0"/>
        <v>3257400</v>
      </c>
      <c r="G14" s="29">
        <f t="shared" si="1"/>
        <v>488610</v>
      </c>
      <c r="H14" s="29">
        <f t="shared" si="2"/>
        <v>3746010</v>
      </c>
      <c r="I14" s="30">
        <v>45297</v>
      </c>
      <c r="J14" s="30" t="s">
        <v>42</v>
      </c>
      <c r="K14" s="31" t="s">
        <v>18</v>
      </c>
      <c r="L14" s="32"/>
      <c r="AB14" s="26"/>
    </row>
    <row r="15" spans="1:28" ht="15" x14ac:dyDescent="0.25">
      <c r="A15" s="27" t="s">
        <v>43</v>
      </c>
      <c r="B15" s="28">
        <v>2</v>
      </c>
      <c r="C15" s="20" t="s">
        <v>44</v>
      </c>
      <c r="D15" s="29">
        <v>3510258.1</v>
      </c>
      <c r="E15" s="29"/>
      <c r="F15" s="29">
        <f t="shared" si="0"/>
        <v>3510258.1</v>
      </c>
      <c r="G15" s="29">
        <f t="shared" si="1"/>
        <v>526538.71499999997</v>
      </c>
      <c r="H15" s="29">
        <f t="shared" si="2"/>
        <v>4036796.8149999999</v>
      </c>
      <c r="I15" s="30">
        <v>45298</v>
      </c>
      <c r="J15" s="30" t="s">
        <v>45</v>
      </c>
      <c r="K15" s="31" t="s">
        <v>18</v>
      </c>
      <c r="L15" s="32"/>
      <c r="AB15" s="26"/>
    </row>
    <row r="16" spans="1:28" ht="15" x14ac:dyDescent="0.25">
      <c r="A16" s="27" t="s">
        <v>46</v>
      </c>
      <c r="B16" s="28">
        <v>2</v>
      </c>
      <c r="C16" s="20" t="s">
        <v>47</v>
      </c>
      <c r="D16" s="29">
        <v>3836483.9</v>
      </c>
      <c r="E16" s="29"/>
      <c r="F16" s="29">
        <f t="shared" si="0"/>
        <v>3835997.6</v>
      </c>
      <c r="G16" s="29">
        <f t="shared" si="1"/>
        <v>575399.64</v>
      </c>
      <c r="H16" s="29">
        <f t="shared" si="2"/>
        <v>4411397.24</v>
      </c>
      <c r="I16" s="30">
        <v>45299</v>
      </c>
      <c r="J16" s="30" t="s">
        <v>48</v>
      </c>
      <c r="K16" s="31" t="s">
        <v>18</v>
      </c>
      <c r="L16" s="32">
        <v>486.3</v>
      </c>
      <c r="N16" s="31" t="s">
        <v>18</v>
      </c>
      <c r="AB16" s="26"/>
    </row>
    <row r="17" spans="1:28" ht="15" x14ac:dyDescent="0.25">
      <c r="A17" s="27" t="s">
        <v>49</v>
      </c>
      <c r="B17" s="28">
        <v>2</v>
      </c>
      <c r="C17" s="20" t="s">
        <v>50</v>
      </c>
      <c r="D17" s="29">
        <v>4511733.3</v>
      </c>
      <c r="E17" s="29"/>
      <c r="F17" s="29">
        <f t="shared" si="0"/>
        <v>4511371.5999999996</v>
      </c>
      <c r="G17" s="29">
        <f t="shared" si="1"/>
        <v>676705.73999999987</v>
      </c>
      <c r="H17" s="29">
        <f t="shared" si="2"/>
        <v>5188077.34</v>
      </c>
      <c r="I17" s="30">
        <v>45300</v>
      </c>
      <c r="J17" s="30" t="s">
        <v>51</v>
      </c>
      <c r="K17" s="31" t="s">
        <v>18</v>
      </c>
      <c r="L17" s="32">
        <v>361.7</v>
      </c>
      <c r="N17" s="33" t="s">
        <v>52</v>
      </c>
      <c r="AB17" s="26"/>
    </row>
    <row r="18" spans="1:28" ht="15" x14ac:dyDescent="0.25">
      <c r="A18" s="27" t="s">
        <v>53</v>
      </c>
      <c r="B18" s="28">
        <v>1</v>
      </c>
      <c r="C18" s="20" t="s">
        <v>54</v>
      </c>
      <c r="D18" s="29">
        <v>2130935.48</v>
      </c>
      <c r="E18" s="29"/>
      <c r="F18" s="29">
        <f t="shared" si="0"/>
        <v>2130935.48</v>
      </c>
      <c r="G18" s="29">
        <f t="shared" si="1"/>
        <v>319640.32199999999</v>
      </c>
      <c r="H18" s="29">
        <f t="shared" si="2"/>
        <v>2450575.8020000001</v>
      </c>
      <c r="I18" s="30">
        <v>45301</v>
      </c>
      <c r="J18" s="30" t="s">
        <v>55</v>
      </c>
      <c r="K18" s="31" t="s">
        <v>18</v>
      </c>
      <c r="L18" s="32"/>
      <c r="AB18" s="26"/>
    </row>
    <row r="19" spans="1:28" ht="15" x14ac:dyDescent="0.25">
      <c r="A19" s="27" t="s">
        <v>56</v>
      </c>
      <c r="B19" s="28">
        <v>2</v>
      </c>
      <c r="C19" s="20" t="s">
        <v>54</v>
      </c>
      <c r="D19" s="29">
        <v>2778096.77</v>
      </c>
      <c r="E19" s="29"/>
      <c r="F19" s="29">
        <f t="shared" si="0"/>
        <v>2778096.77</v>
      </c>
      <c r="G19" s="29">
        <f t="shared" si="1"/>
        <v>416714.51549999998</v>
      </c>
      <c r="H19" s="29">
        <f t="shared" si="2"/>
        <v>3194811.2855000002</v>
      </c>
      <c r="I19" s="30">
        <v>45301</v>
      </c>
      <c r="J19" s="30" t="s">
        <v>55</v>
      </c>
      <c r="K19" s="31" t="s">
        <v>18</v>
      </c>
      <c r="L19" s="32"/>
      <c r="N19" s="31" t="s">
        <v>57</v>
      </c>
      <c r="AB19" s="26"/>
    </row>
    <row r="20" spans="1:28" ht="15" x14ac:dyDescent="0.25">
      <c r="A20" s="27" t="s">
        <v>58</v>
      </c>
      <c r="B20" s="28">
        <v>3</v>
      </c>
      <c r="C20" s="20" t="s">
        <v>54</v>
      </c>
      <c r="D20" s="29">
        <v>65580.649999999994</v>
      </c>
      <c r="E20" s="29"/>
      <c r="F20" s="29">
        <f t="shared" si="0"/>
        <v>65580.649999999994</v>
      </c>
      <c r="G20" s="29">
        <f t="shared" si="1"/>
        <v>9837.097499999998</v>
      </c>
      <c r="H20" s="29">
        <f t="shared" si="2"/>
        <v>75417.747499999998</v>
      </c>
      <c r="I20" s="30">
        <v>45301</v>
      </c>
      <c r="J20" s="29" t="s">
        <v>55</v>
      </c>
      <c r="K20" s="31" t="s">
        <v>18</v>
      </c>
      <c r="L20" s="32"/>
      <c r="AB20" s="26"/>
    </row>
    <row r="21" spans="1:28" ht="15" x14ac:dyDescent="0.25">
      <c r="A21" s="27" t="s">
        <v>59</v>
      </c>
      <c r="B21" s="28">
        <v>2</v>
      </c>
      <c r="C21" s="20" t="s">
        <v>60</v>
      </c>
      <c r="D21" s="29">
        <v>10900</v>
      </c>
      <c r="E21" s="29"/>
      <c r="F21" s="29">
        <f t="shared" si="0"/>
        <v>10900</v>
      </c>
      <c r="G21" s="29">
        <f t="shared" si="1"/>
        <v>1635</v>
      </c>
      <c r="H21" s="29">
        <f t="shared" si="2"/>
        <v>12535</v>
      </c>
      <c r="I21" s="30">
        <v>45302</v>
      </c>
      <c r="J21" s="30" t="s">
        <v>61</v>
      </c>
      <c r="K21" s="31" t="s">
        <v>18</v>
      </c>
      <c r="L21" s="32"/>
      <c r="AB21" s="26"/>
    </row>
    <row r="22" spans="1:28" ht="15" x14ac:dyDescent="0.25">
      <c r="A22" s="27" t="s">
        <v>62</v>
      </c>
      <c r="B22" s="28">
        <v>3</v>
      </c>
      <c r="C22" s="20" t="s">
        <v>60</v>
      </c>
      <c r="D22" s="29">
        <v>5212266.6626666663</v>
      </c>
      <c r="E22" s="29"/>
      <c r="F22" s="29">
        <f t="shared" si="0"/>
        <v>5212266.6626666663</v>
      </c>
      <c r="G22" s="29">
        <f t="shared" si="1"/>
        <v>781839.99939999997</v>
      </c>
      <c r="H22" s="29">
        <f t="shared" si="2"/>
        <v>5994106.6620666664</v>
      </c>
      <c r="I22" s="30">
        <v>45302</v>
      </c>
      <c r="J22" s="30" t="s">
        <v>61</v>
      </c>
      <c r="K22" s="31" t="s">
        <v>18</v>
      </c>
      <c r="L22" s="32"/>
      <c r="N22" s="34"/>
      <c r="AB22" s="26"/>
    </row>
    <row r="23" spans="1:28" ht="15" x14ac:dyDescent="0.25">
      <c r="A23" s="27" t="s">
        <v>63</v>
      </c>
      <c r="B23" s="28">
        <v>3</v>
      </c>
      <c r="C23" s="20" t="s">
        <v>60</v>
      </c>
      <c r="D23" s="29">
        <v>102500</v>
      </c>
      <c r="E23" s="29"/>
      <c r="F23" s="29">
        <f t="shared" si="0"/>
        <v>2500</v>
      </c>
      <c r="G23" s="29">
        <f t="shared" si="1"/>
        <v>375</v>
      </c>
      <c r="H23" s="29">
        <f t="shared" si="2"/>
        <v>2875</v>
      </c>
      <c r="I23" s="30">
        <v>45302</v>
      </c>
      <c r="J23" s="30" t="s">
        <v>61</v>
      </c>
      <c r="K23" s="31" t="s">
        <v>18</v>
      </c>
      <c r="L23" s="35">
        <v>100000</v>
      </c>
      <c r="M23" s="25" t="s">
        <v>64</v>
      </c>
      <c r="N23" s="34">
        <v>100000</v>
      </c>
      <c r="AB23" s="26"/>
    </row>
    <row r="24" spans="1:28" ht="15" x14ac:dyDescent="0.25">
      <c r="A24" s="27" t="s">
        <v>65</v>
      </c>
      <c r="B24" s="28">
        <v>2</v>
      </c>
      <c r="C24" s="20" t="s">
        <v>66</v>
      </c>
      <c r="D24" s="29">
        <v>4151967.7419354832</v>
      </c>
      <c r="E24" s="29"/>
      <c r="F24" s="29">
        <f t="shared" si="0"/>
        <v>4151967.7419354832</v>
      </c>
      <c r="G24" s="29">
        <f t="shared" si="1"/>
        <v>622795.16129032243</v>
      </c>
      <c r="H24" s="29">
        <f t="shared" si="2"/>
        <v>4774762.9032258056</v>
      </c>
      <c r="I24" s="30">
        <v>45303</v>
      </c>
      <c r="J24" s="30">
        <v>45657</v>
      </c>
      <c r="K24" s="31" t="s">
        <v>18</v>
      </c>
      <c r="L24" s="32"/>
      <c r="AB24" s="26"/>
    </row>
    <row r="25" spans="1:28" ht="15" x14ac:dyDescent="0.25">
      <c r="A25" s="27" t="s">
        <v>67</v>
      </c>
      <c r="B25" s="28">
        <v>3</v>
      </c>
      <c r="C25" s="20" t="s">
        <v>66</v>
      </c>
      <c r="D25" s="29">
        <v>1547032.2580645164</v>
      </c>
      <c r="E25" s="29"/>
      <c r="F25" s="29">
        <f t="shared" si="0"/>
        <v>1547032.2580645164</v>
      </c>
      <c r="G25" s="29">
        <f t="shared" si="1"/>
        <v>232054.83870967745</v>
      </c>
      <c r="H25" s="29">
        <f t="shared" si="2"/>
        <v>1779087.0967741939</v>
      </c>
      <c r="I25" s="30">
        <v>45303</v>
      </c>
      <c r="J25" s="30" t="s">
        <v>68</v>
      </c>
      <c r="K25" s="31" t="s">
        <v>18</v>
      </c>
      <c r="L25" s="32"/>
      <c r="AB25" s="26"/>
    </row>
    <row r="26" spans="1:28" ht="15" x14ac:dyDescent="0.25">
      <c r="A26" s="27" t="s">
        <v>69</v>
      </c>
      <c r="B26" s="28">
        <v>2</v>
      </c>
      <c r="C26" s="20" t="s">
        <v>70</v>
      </c>
      <c r="D26" s="29">
        <v>1159870.9677419355</v>
      </c>
      <c r="E26" s="29"/>
      <c r="F26" s="29">
        <f t="shared" si="0"/>
        <v>1159870.9677419355</v>
      </c>
      <c r="G26" s="29">
        <f t="shared" si="1"/>
        <v>173980.64516129033</v>
      </c>
      <c r="H26" s="29">
        <f t="shared" si="2"/>
        <v>1333851.6129032259</v>
      </c>
      <c r="I26" s="30">
        <v>45658</v>
      </c>
      <c r="J26" s="30" t="s">
        <v>71</v>
      </c>
      <c r="K26" s="31" t="s">
        <v>18</v>
      </c>
      <c r="L26" s="32"/>
      <c r="AB26" s="26"/>
    </row>
    <row r="27" spans="1:28" ht="15" x14ac:dyDescent="0.25">
      <c r="A27" s="27" t="s">
        <v>72</v>
      </c>
      <c r="B27" s="28">
        <v>3</v>
      </c>
      <c r="C27" s="20" t="s">
        <v>70</v>
      </c>
      <c r="D27" s="29">
        <v>4794225.8064516131</v>
      </c>
      <c r="E27" s="29"/>
      <c r="F27" s="29">
        <f t="shared" si="0"/>
        <v>4794225.8064516131</v>
      </c>
      <c r="G27" s="29">
        <f t="shared" si="1"/>
        <v>719133.87096774194</v>
      </c>
      <c r="H27" s="29">
        <f t="shared" si="2"/>
        <v>5513359.6774193551</v>
      </c>
      <c r="I27" s="30">
        <v>45658</v>
      </c>
      <c r="J27" s="30">
        <v>45688</v>
      </c>
      <c r="K27" s="31" t="s">
        <v>18</v>
      </c>
      <c r="L27" s="32"/>
      <c r="AB27" s="26"/>
    </row>
    <row r="28" spans="1:28" ht="15" x14ac:dyDescent="0.25">
      <c r="A28" s="27" t="s">
        <v>73</v>
      </c>
      <c r="B28" s="28">
        <v>2</v>
      </c>
      <c r="C28" s="20" t="s">
        <v>74</v>
      </c>
      <c r="D28" s="29">
        <v>5233250</v>
      </c>
      <c r="E28" s="29"/>
      <c r="F28" s="29">
        <f t="shared" si="0"/>
        <v>5233250</v>
      </c>
      <c r="G28" s="29">
        <f t="shared" si="1"/>
        <v>784987.5</v>
      </c>
      <c r="H28" s="29">
        <f t="shared" si="2"/>
        <v>6018237.5</v>
      </c>
      <c r="I28" s="30">
        <v>45659</v>
      </c>
      <c r="J28" s="30" t="s">
        <v>75</v>
      </c>
      <c r="K28" s="31" t="s">
        <v>18</v>
      </c>
      <c r="L28" s="32"/>
      <c r="AB28" s="26"/>
    </row>
    <row r="29" spans="1:28" ht="15" x14ac:dyDescent="0.25">
      <c r="A29" s="27" t="s">
        <v>76</v>
      </c>
      <c r="B29" s="28">
        <v>3</v>
      </c>
      <c r="C29" s="20" t="s">
        <v>74</v>
      </c>
      <c r="D29" s="29">
        <v>1191607.1428571432</v>
      </c>
      <c r="E29" s="29"/>
      <c r="F29" s="29">
        <f t="shared" si="0"/>
        <v>1191607.1428571432</v>
      </c>
      <c r="G29" s="29">
        <f t="shared" si="1"/>
        <v>178741.07142857148</v>
      </c>
      <c r="H29" s="29">
        <f t="shared" si="2"/>
        <v>1370348.2142857146</v>
      </c>
      <c r="I29" s="30">
        <v>45659</v>
      </c>
      <c r="J29" s="30" t="s">
        <v>75</v>
      </c>
      <c r="K29" s="31" t="s">
        <v>18</v>
      </c>
      <c r="L29" s="32"/>
      <c r="AB29" s="26"/>
    </row>
    <row r="30" spans="1:28" ht="15" x14ac:dyDescent="0.25">
      <c r="A30" s="27" t="s">
        <v>77</v>
      </c>
      <c r="B30" s="28">
        <v>3</v>
      </c>
      <c r="C30" s="20" t="s">
        <v>78</v>
      </c>
      <c r="D30" s="29">
        <v>7035709.6774193542</v>
      </c>
      <c r="E30" s="29"/>
      <c r="F30" s="29">
        <f t="shared" si="0"/>
        <v>7035239.0322580636</v>
      </c>
      <c r="G30" s="29">
        <f t="shared" si="1"/>
        <v>1055285.8548387096</v>
      </c>
      <c r="H30" s="29">
        <f t="shared" si="2"/>
        <v>8090524.8870967729</v>
      </c>
      <c r="I30" s="30">
        <v>45660</v>
      </c>
      <c r="J30" s="30" t="s">
        <v>79</v>
      </c>
      <c r="K30" s="31" t="s">
        <v>18</v>
      </c>
      <c r="L30" s="32">
        <v>470.64516129032256</v>
      </c>
      <c r="M30" s="36" t="s">
        <v>80</v>
      </c>
      <c r="N30" s="25">
        <v>470</v>
      </c>
      <c r="AB30" s="26"/>
    </row>
    <row r="31" spans="1:28" ht="15" x14ac:dyDescent="0.25">
      <c r="A31" s="27" t="s">
        <v>81</v>
      </c>
      <c r="B31" s="28">
        <v>3</v>
      </c>
      <c r="C31" s="20" t="s">
        <v>82</v>
      </c>
      <c r="D31" s="29">
        <v>7173133.3333333321</v>
      </c>
      <c r="E31" s="29"/>
      <c r="F31" s="29">
        <f t="shared" si="0"/>
        <v>7170447.6666666651</v>
      </c>
      <c r="G31" s="29">
        <f t="shared" si="1"/>
        <v>1075567.1499999997</v>
      </c>
      <c r="H31" s="29">
        <f t="shared" si="2"/>
        <v>8246014.8166666646</v>
      </c>
      <c r="I31" s="30">
        <v>45661</v>
      </c>
      <c r="J31" s="30" t="s">
        <v>83</v>
      </c>
      <c r="K31" s="31" t="s">
        <v>18</v>
      </c>
      <c r="L31" s="32">
        <v>2685.6666666666702</v>
      </c>
      <c r="M31" s="36"/>
      <c r="AB31" s="26"/>
    </row>
    <row r="32" spans="1:28" ht="15" x14ac:dyDescent="0.25">
      <c r="A32" s="27" t="s">
        <v>84</v>
      </c>
      <c r="B32" s="28">
        <v>3</v>
      </c>
      <c r="C32" s="20" t="s">
        <v>85</v>
      </c>
      <c r="D32" s="29">
        <v>7188870.9677419374</v>
      </c>
      <c r="E32" s="29"/>
      <c r="F32" s="29">
        <f t="shared" si="0"/>
        <v>7188176.1290322598</v>
      </c>
      <c r="G32" s="29">
        <f t="shared" si="1"/>
        <v>1078226.419354839</v>
      </c>
      <c r="H32" s="29">
        <f t="shared" si="2"/>
        <v>8266402.5483870991</v>
      </c>
      <c r="I32" s="30">
        <v>45662</v>
      </c>
      <c r="J32" s="30" t="s">
        <v>86</v>
      </c>
      <c r="K32" s="31" t="s">
        <v>18</v>
      </c>
      <c r="L32" s="32">
        <v>694.83870967741939</v>
      </c>
      <c r="M32" s="36"/>
      <c r="AB32" s="26"/>
    </row>
    <row r="33" spans="1:28" ht="15" x14ac:dyDescent="0.25">
      <c r="A33" s="27" t="s">
        <v>87</v>
      </c>
      <c r="B33" s="28">
        <v>4</v>
      </c>
      <c r="C33" s="20" t="s">
        <v>85</v>
      </c>
      <c r="D33" s="29">
        <v>174935.48387096776</v>
      </c>
      <c r="E33" s="29"/>
      <c r="F33" s="29">
        <f t="shared" si="0"/>
        <v>174935.48387096776</v>
      </c>
      <c r="G33" s="29">
        <f t="shared" si="1"/>
        <v>26240.322580645163</v>
      </c>
      <c r="H33" s="29">
        <f t="shared" si="2"/>
        <v>201175.80645161291</v>
      </c>
      <c r="I33" s="30">
        <v>45662</v>
      </c>
      <c r="J33" s="30" t="s">
        <v>86</v>
      </c>
      <c r="K33" s="31" t="s">
        <v>18</v>
      </c>
      <c r="L33" s="32"/>
      <c r="M33" s="36"/>
      <c r="AB33" s="26"/>
    </row>
    <row r="34" spans="1:28" ht="15" x14ac:dyDescent="0.25">
      <c r="A34" s="27" t="s">
        <v>88</v>
      </c>
      <c r="B34" s="28">
        <v>1</v>
      </c>
      <c r="C34" s="20" t="s">
        <v>89</v>
      </c>
      <c r="D34" s="29">
        <v>10900</v>
      </c>
      <c r="E34" s="29"/>
      <c r="F34" s="29">
        <f t="shared" si="0"/>
        <v>10900</v>
      </c>
      <c r="G34" s="29">
        <f t="shared" si="1"/>
        <v>1635</v>
      </c>
      <c r="H34" s="29">
        <f t="shared" si="2"/>
        <v>12535</v>
      </c>
      <c r="I34" s="30">
        <v>45663</v>
      </c>
      <c r="J34" s="30" t="s">
        <v>90</v>
      </c>
      <c r="K34" s="31" t="s">
        <v>18</v>
      </c>
      <c r="L34" s="32"/>
      <c r="AB34" s="26"/>
    </row>
    <row r="35" spans="1:28" ht="15" x14ac:dyDescent="0.25">
      <c r="A35" s="27" t="s">
        <v>91</v>
      </c>
      <c r="B35" s="28">
        <v>3</v>
      </c>
      <c r="C35" s="20" t="s">
        <v>89</v>
      </c>
      <c r="D35" s="29">
        <v>190200</v>
      </c>
      <c r="E35" s="29"/>
      <c r="F35" s="29">
        <f t="shared" si="0"/>
        <v>190200</v>
      </c>
      <c r="G35" s="29">
        <f t="shared" si="1"/>
        <v>28530</v>
      </c>
      <c r="H35" s="29">
        <f t="shared" si="2"/>
        <v>218730</v>
      </c>
      <c r="I35" s="30">
        <v>45663</v>
      </c>
      <c r="J35" s="30" t="s">
        <v>90</v>
      </c>
      <c r="K35" s="31" t="s">
        <v>18</v>
      </c>
      <c r="L35" s="32"/>
      <c r="M35" s="37"/>
      <c r="AB35" s="26"/>
    </row>
    <row r="36" spans="1:28" ht="15" x14ac:dyDescent="0.25">
      <c r="A36" s="27" t="s">
        <v>92</v>
      </c>
      <c r="B36" s="28">
        <v>3</v>
      </c>
      <c r="C36" s="20" t="s">
        <v>89</v>
      </c>
      <c r="D36" s="29">
        <v>5988966.6666666651</v>
      </c>
      <c r="E36" s="29"/>
      <c r="F36" s="29">
        <f t="shared" si="0"/>
        <v>5987658.9999999981</v>
      </c>
      <c r="G36" s="29">
        <f t="shared" si="1"/>
        <v>898148.84999999974</v>
      </c>
      <c r="H36" s="29">
        <f t="shared" si="2"/>
        <v>6885807.8499999978</v>
      </c>
      <c r="I36" s="30">
        <v>45663</v>
      </c>
      <c r="J36" s="30" t="s">
        <v>90</v>
      </c>
      <c r="K36" s="31" t="s">
        <v>18</v>
      </c>
      <c r="L36" s="32">
        <v>1307.6666666666667</v>
      </c>
      <c r="M36" s="36"/>
      <c r="AB36" s="26"/>
    </row>
    <row r="37" spans="1:28" ht="15" x14ac:dyDescent="0.25">
      <c r="A37" s="27" t="s">
        <v>93</v>
      </c>
      <c r="B37" s="28">
        <v>4</v>
      </c>
      <c r="C37" s="20" t="s">
        <v>89</v>
      </c>
      <c r="D37" s="29">
        <v>1515599.9999999998</v>
      </c>
      <c r="E37" s="29"/>
      <c r="F37" s="29">
        <f t="shared" si="0"/>
        <v>1515412.9999999998</v>
      </c>
      <c r="G37" s="29">
        <f t="shared" si="1"/>
        <v>227311.94999999995</v>
      </c>
      <c r="H37" s="29">
        <f t="shared" si="2"/>
        <v>1742724.9499999997</v>
      </c>
      <c r="I37" s="30">
        <v>45663</v>
      </c>
      <c r="J37" s="30" t="s">
        <v>90</v>
      </c>
      <c r="K37" s="31" t="s">
        <v>18</v>
      </c>
      <c r="L37" s="32">
        <v>187</v>
      </c>
      <c r="M37" s="36"/>
      <c r="AB37" s="26"/>
    </row>
    <row r="38" spans="1:28" ht="15" x14ac:dyDescent="0.25">
      <c r="A38" s="27" t="s">
        <v>94</v>
      </c>
      <c r="B38" s="28">
        <v>2</v>
      </c>
      <c r="C38" s="20" t="s">
        <v>95</v>
      </c>
      <c r="D38" s="29">
        <v>185419.35483870967</v>
      </c>
      <c r="E38" s="29"/>
      <c r="F38" s="29">
        <f t="shared" si="0"/>
        <v>185419.35483870967</v>
      </c>
      <c r="G38" s="29">
        <f t="shared" si="1"/>
        <v>27812.903225806451</v>
      </c>
      <c r="H38" s="29">
        <f t="shared" si="2"/>
        <v>213232.25806451612</v>
      </c>
      <c r="I38" s="30">
        <v>45664</v>
      </c>
      <c r="J38" s="30" t="s">
        <v>96</v>
      </c>
      <c r="K38" s="31" t="s">
        <v>18</v>
      </c>
      <c r="L38" s="32"/>
      <c r="M38" s="36"/>
      <c r="AB38" s="26"/>
    </row>
    <row r="39" spans="1:28" ht="15" x14ac:dyDescent="0.25">
      <c r="A39" s="38" t="s">
        <v>97</v>
      </c>
      <c r="B39" s="28">
        <v>3</v>
      </c>
      <c r="C39" s="20" t="s">
        <v>95</v>
      </c>
      <c r="D39" s="29">
        <v>4011161.2903225804</v>
      </c>
      <c r="E39" s="29"/>
      <c r="F39" s="29">
        <f t="shared" si="0"/>
        <v>4010299.032258064</v>
      </c>
      <c r="G39" s="29">
        <f t="shared" si="1"/>
        <v>601544.85483870958</v>
      </c>
      <c r="H39" s="29">
        <f t="shared" si="2"/>
        <v>4611843.8870967738</v>
      </c>
      <c r="I39" s="30">
        <v>45664</v>
      </c>
      <c r="J39" s="30" t="s">
        <v>96</v>
      </c>
      <c r="K39" s="31" t="s">
        <v>18</v>
      </c>
      <c r="L39" s="32">
        <v>862.25806451612914</v>
      </c>
      <c r="M39" s="36"/>
      <c r="AB39" s="26"/>
    </row>
    <row r="40" spans="1:28" ht="15" x14ac:dyDescent="0.25">
      <c r="A40" s="27" t="s">
        <v>98</v>
      </c>
      <c r="B40" s="28">
        <v>4</v>
      </c>
      <c r="C40" s="20" t="s">
        <v>95</v>
      </c>
      <c r="D40" s="29">
        <v>3872580.6451612907</v>
      </c>
      <c r="E40" s="29"/>
      <c r="F40" s="29">
        <f t="shared" si="0"/>
        <v>3870882.2580645164</v>
      </c>
      <c r="G40" s="29">
        <f t="shared" si="1"/>
        <v>580632.33870967745</v>
      </c>
      <c r="H40" s="29">
        <f t="shared" si="2"/>
        <v>4451514.5967741935</v>
      </c>
      <c r="I40" s="30">
        <v>45664</v>
      </c>
      <c r="J40" s="30" t="s">
        <v>96</v>
      </c>
      <c r="K40" s="31" t="s">
        <v>18</v>
      </c>
      <c r="L40" s="32">
        <v>1698.3870967741932</v>
      </c>
      <c r="M40" s="36"/>
      <c r="AB40" s="26"/>
    </row>
    <row r="41" spans="1:28" ht="15" x14ac:dyDescent="0.25">
      <c r="A41" s="27" t="s">
        <v>99</v>
      </c>
      <c r="B41" s="28">
        <v>3</v>
      </c>
      <c r="C41" s="20" t="s">
        <v>100</v>
      </c>
      <c r="D41" s="29">
        <v>907064.51612903213</v>
      </c>
      <c r="E41" s="29"/>
      <c r="F41" s="29">
        <f t="shared" si="0"/>
        <v>906800.32258064498</v>
      </c>
      <c r="G41" s="29">
        <f t="shared" si="1"/>
        <v>136020.04838709673</v>
      </c>
      <c r="H41" s="29">
        <f t="shared" si="2"/>
        <v>1042820.3709677417</v>
      </c>
      <c r="I41" s="30">
        <v>45665</v>
      </c>
      <c r="J41" s="30" t="s">
        <v>101</v>
      </c>
      <c r="K41" s="31" t="s">
        <v>18</v>
      </c>
      <c r="L41" s="32">
        <v>264.19354838709677</v>
      </c>
      <c r="M41" s="36"/>
      <c r="AB41" s="26"/>
    </row>
    <row r="42" spans="1:28" ht="15" x14ac:dyDescent="0.25">
      <c r="A42" s="27" t="s">
        <v>102</v>
      </c>
      <c r="B42" s="28">
        <v>4</v>
      </c>
      <c r="C42" s="20" t="s">
        <v>100</v>
      </c>
      <c r="D42" s="29">
        <v>7327419.3548387066</v>
      </c>
      <c r="E42" s="29"/>
      <c r="F42" s="29">
        <f t="shared" si="0"/>
        <v>7326677.0967741907</v>
      </c>
      <c r="G42" s="29">
        <f t="shared" si="1"/>
        <v>1099001.5645161285</v>
      </c>
      <c r="H42" s="29">
        <f t="shared" si="2"/>
        <v>8425678.6612903196</v>
      </c>
      <c r="I42" s="30">
        <v>45665</v>
      </c>
      <c r="J42" s="30" t="s">
        <v>101</v>
      </c>
      <c r="K42" s="31" t="s">
        <v>18</v>
      </c>
      <c r="L42" s="32">
        <v>742.25806451612902</v>
      </c>
      <c r="M42" s="36"/>
      <c r="AB42" s="26"/>
    </row>
    <row r="43" spans="1:28" ht="15" x14ac:dyDescent="0.25">
      <c r="A43" s="38" t="s">
        <v>103</v>
      </c>
      <c r="B43" s="28">
        <v>3</v>
      </c>
      <c r="C43" s="20" t="s">
        <v>104</v>
      </c>
      <c r="D43" s="29">
        <v>418233.33333333331</v>
      </c>
      <c r="E43" s="29"/>
      <c r="F43" s="29">
        <f t="shared" si="0"/>
        <v>418233.33333333331</v>
      </c>
      <c r="G43" s="29">
        <f t="shared" si="1"/>
        <v>62734.999999999993</v>
      </c>
      <c r="H43" s="29">
        <f t="shared" si="2"/>
        <v>480968.33333333331</v>
      </c>
      <c r="I43" s="30">
        <v>45666</v>
      </c>
      <c r="J43" s="30" t="s">
        <v>105</v>
      </c>
      <c r="K43" s="31" t="s">
        <v>18</v>
      </c>
      <c r="L43" s="32"/>
      <c r="M43" s="36"/>
      <c r="AB43" s="26"/>
    </row>
    <row r="44" spans="1:28" ht="15" x14ac:dyDescent="0.25">
      <c r="A44" s="38" t="s">
        <v>106</v>
      </c>
      <c r="B44" s="28">
        <v>4</v>
      </c>
      <c r="C44" s="20" t="s">
        <v>104</v>
      </c>
      <c r="D44" s="29">
        <v>7973799.9999999991</v>
      </c>
      <c r="E44" s="29"/>
      <c r="F44" s="29">
        <f t="shared" si="0"/>
        <v>7971570.3199999994</v>
      </c>
      <c r="G44" s="29">
        <f t="shared" si="1"/>
        <v>1195735.548</v>
      </c>
      <c r="H44" s="29">
        <f t="shared" si="2"/>
        <v>9167305.8679999989</v>
      </c>
      <c r="I44" s="30">
        <v>45666</v>
      </c>
      <c r="J44" s="30" t="s">
        <v>105</v>
      </c>
      <c r="K44" s="31" t="s">
        <v>18</v>
      </c>
      <c r="L44" s="32">
        <v>2229.6799999999998</v>
      </c>
      <c r="M44" s="39">
        <f t="shared" ref="M44" si="3">N44+T44</f>
        <v>0</v>
      </c>
      <c r="AB44" s="26"/>
    </row>
    <row r="45" spans="1:28" ht="15" x14ac:dyDescent="0.25">
      <c r="A45" s="38" t="s">
        <v>107</v>
      </c>
      <c r="B45" s="28">
        <v>3</v>
      </c>
      <c r="C45" s="20" t="s">
        <v>108</v>
      </c>
      <c r="D45" s="29">
        <v>94806.451612903227</v>
      </c>
      <c r="E45" s="29"/>
      <c r="F45" s="29">
        <f t="shared" si="0"/>
        <v>94806.451612903227</v>
      </c>
      <c r="G45" s="29">
        <f t="shared" si="1"/>
        <v>14220.967741935483</v>
      </c>
      <c r="H45" s="29">
        <f t="shared" si="2"/>
        <v>109027.41935483871</v>
      </c>
      <c r="I45" s="30">
        <v>45667</v>
      </c>
      <c r="J45" s="30" t="s">
        <v>109</v>
      </c>
      <c r="K45" s="31" t="s">
        <v>18</v>
      </c>
      <c r="L45" s="32"/>
      <c r="M45" s="36"/>
      <c r="AB45" s="26"/>
    </row>
    <row r="46" spans="1:28" ht="15" x14ac:dyDescent="0.25">
      <c r="A46" s="38" t="s">
        <v>110</v>
      </c>
      <c r="B46" s="28">
        <v>4</v>
      </c>
      <c r="C46" s="20" t="s">
        <v>108</v>
      </c>
      <c r="D46" s="29">
        <v>7288354.8387096785</v>
      </c>
      <c r="E46" s="29"/>
      <c r="F46" s="29">
        <f t="shared" si="0"/>
        <v>7287509.0322580654</v>
      </c>
      <c r="G46" s="29">
        <f t="shared" si="1"/>
        <v>1093126.3548387098</v>
      </c>
      <c r="H46" s="29">
        <f t="shared" si="2"/>
        <v>8380635.3870967757</v>
      </c>
      <c r="I46" s="30">
        <v>45667</v>
      </c>
      <c r="J46" s="30" t="s">
        <v>109</v>
      </c>
      <c r="K46" s="31" t="s">
        <v>18</v>
      </c>
      <c r="L46" s="32">
        <v>845.80645161290329</v>
      </c>
      <c r="M46" s="40"/>
      <c r="AB46" s="26"/>
    </row>
    <row r="47" spans="1:28" ht="15" x14ac:dyDescent="0.25">
      <c r="A47" s="38" t="s">
        <v>111</v>
      </c>
      <c r="B47" s="28">
        <v>5</v>
      </c>
      <c r="C47" s="20" t="s">
        <v>108</v>
      </c>
      <c r="D47" s="29">
        <v>1063451.6129032257</v>
      </c>
      <c r="E47" s="29"/>
      <c r="F47" s="29">
        <f t="shared" si="0"/>
        <v>1062687.7419354839</v>
      </c>
      <c r="G47" s="29">
        <f t="shared" si="1"/>
        <v>159403.16129032258</v>
      </c>
      <c r="H47" s="29">
        <f t="shared" si="2"/>
        <v>1222090.9032258065</v>
      </c>
      <c r="I47" s="30">
        <v>45667</v>
      </c>
      <c r="J47" s="30" t="s">
        <v>109</v>
      </c>
      <c r="K47" s="31" t="s">
        <v>18</v>
      </c>
      <c r="L47" s="32">
        <v>763.87096774193549</v>
      </c>
      <c r="M47" s="40"/>
      <c r="AB47" s="26"/>
    </row>
    <row r="48" spans="1:28" ht="15" x14ac:dyDescent="0.25">
      <c r="A48" s="38" t="s">
        <v>112</v>
      </c>
      <c r="B48" s="28">
        <v>3</v>
      </c>
      <c r="C48" s="20" t="s">
        <v>113</v>
      </c>
      <c r="D48" s="29">
        <v>13200</v>
      </c>
      <c r="E48" s="29"/>
      <c r="F48" s="29">
        <f t="shared" si="0"/>
        <v>13200</v>
      </c>
      <c r="G48" s="29">
        <f t="shared" si="1"/>
        <v>1980</v>
      </c>
      <c r="H48" s="29">
        <f t="shared" si="2"/>
        <v>15180</v>
      </c>
      <c r="I48" s="30">
        <v>45668</v>
      </c>
      <c r="J48" s="30" t="s">
        <v>114</v>
      </c>
      <c r="K48" s="31" t="s">
        <v>18</v>
      </c>
      <c r="L48" s="32"/>
      <c r="M48" s="40"/>
      <c r="AB48" s="26"/>
    </row>
    <row r="49" spans="1:28" ht="15" x14ac:dyDescent="0.25">
      <c r="A49" s="38" t="s">
        <v>115</v>
      </c>
      <c r="B49" s="28">
        <v>4</v>
      </c>
      <c r="C49" s="20" t="s">
        <v>113</v>
      </c>
      <c r="D49" s="29">
        <v>3365166.666666667</v>
      </c>
      <c r="E49" s="29"/>
      <c r="F49" s="29">
        <f t="shared" si="0"/>
        <v>3364746.666666667</v>
      </c>
      <c r="G49" s="29">
        <f t="shared" si="1"/>
        <v>504712</v>
      </c>
      <c r="H49" s="29">
        <f t="shared" si="2"/>
        <v>3869458.666666667</v>
      </c>
      <c r="I49" s="30">
        <v>45668</v>
      </c>
      <c r="J49" s="30" t="s">
        <v>114</v>
      </c>
      <c r="K49" s="31" t="s">
        <v>18</v>
      </c>
      <c r="L49" s="32">
        <v>420</v>
      </c>
      <c r="M49" s="40"/>
      <c r="AB49" s="26"/>
    </row>
    <row r="50" spans="1:28" ht="15" x14ac:dyDescent="0.25">
      <c r="A50" s="38" t="s">
        <v>116</v>
      </c>
      <c r="B50" s="28">
        <v>5</v>
      </c>
      <c r="C50" s="20" t="s">
        <v>113</v>
      </c>
      <c r="D50" s="29">
        <v>1562366.67</v>
      </c>
      <c r="E50" s="29"/>
      <c r="F50" s="29">
        <f t="shared" si="0"/>
        <v>1562066.67</v>
      </c>
      <c r="G50" s="29">
        <f t="shared" si="1"/>
        <v>234310.00049999999</v>
      </c>
      <c r="H50" s="29">
        <f t="shared" si="2"/>
        <v>1796376.6705</v>
      </c>
      <c r="I50" s="30">
        <v>45668</v>
      </c>
      <c r="J50" s="30" t="s">
        <v>114</v>
      </c>
      <c r="K50" s="31" t="s">
        <v>18</v>
      </c>
      <c r="L50" s="32">
        <v>300</v>
      </c>
      <c r="M50" s="40"/>
      <c r="AB50" s="26"/>
    </row>
    <row r="51" spans="1:28" ht="15" hidden="1" x14ac:dyDescent="0.25">
      <c r="A51" s="27"/>
      <c r="B51" s="28"/>
      <c r="C51" s="20" t="s">
        <v>117</v>
      </c>
      <c r="D51" s="29">
        <v>79797.66373424232</v>
      </c>
      <c r="E51" s="29"/>
      <c r="F51" s="29">
        <f t="shared" si="0"/>
        <v>79797.66373424232</v>
      </c>
      <c r="G51" s="29">
        <f t="shared" si="1"/>
        <v>11969.649560136348</v>
      </c>
      <c r="H51" s="29">
        <f t="shared" si="2"/>
        <v>91767.313294378662</v>
      </c>
      <c r="I51" s="30"/>
      <c r="J51" s="30"/>
      <c r="K51" s="31"/>
      <c r="L51" s="32"/>
      <c r="M51" s="40"/>
      <c r="AB51" s="26"/>
    </row>
    <row r="52" spans="1:28" x14ac:dyDescent="0.25">
      <c r="A52" s="41" t="s">
        <v>118</v>
      </c>
      <c r="B52" s="42"/>
      <c r="C52" s="43"/>
      <c r="D52" s="44">
        <f>SUM(D5:D51)</f>
        <v>126000000</v>
      </c>
      <c r="E52" s="44"/>
      <c r="F52" s="44">
        <f t="shared" ref="F52:H52" si="4">SUM(F5:F51)</f>
        <v>125885679.72860213</v>
      </c>
      <c r="G52" s="44">
        <f t="shared" si="4"/>
        <v>18882851.959290318</v>
      </c>
      <c r="H52" s="44">
        <f t="shared" si="4"/>
        <v>144768531.68789247</v>
      </c>
      <c r="I52" s="45"/>
      <c r="J52" s="46"/>
      <c r="K52" s="45"/>
      <c r="L52" s="47">
        <f>SUM(L5:L47)</f>
        <v>113600.27139784949</v>
      </c>
      <c r="M52" s="48">
        <f>D52*1.15</f>
        <v>144900000</v>
      </c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</row>
    <row r="53" spans="1:28" s="58" customFormat="1" ht="13.8" thickBot="1" x14ac:dyDescent="0.3">
      <c r="A53" s="51" t="s">
        <v>119</v>
      </c>
      <c r="B53" s="52">
        <v>6</v>
      </c>
      <c r="C53" s="51" t="s">
        <v>113</v>
      </c>
      <c r="D53" s="53">
        <v>3224899.9999999995</v>
      </c>
      <c r="E53" s="53">
        <f>0.1*D53</f>
        <v>322490</v>
      </c>
      <c r="F53" s="53">
        <f>D53-E53-L53</f>
        <v>2901568.333333333</v>
      </c>
      <c r="G53" s="54">
        <f>0.15*F53</f>
        <v>435235.24999999994</v>
      </c>
      <c r="H53" s="54">
        <f>G53+F53</f>
        <v>3336803.583333333</v>
      </c>
      <c r="I53" s="55">
        <v>45668</v>
      </c>
      <c r="J53" s="55" t="s">
        <v>114</v>
      </c>
      <c r="K53" s="56" t="s">
        <v>52</v>
      </c>
      <c r="L53" s="57">
        <v>841.66666666666674</v>
      </c>
    </row>
    <row r="54" spans="1:28" s="58" customFormat="1" ht="13.8" thickBot="1" x14ac:dyDescent="0.3">
      <c r="A54" s="51" t="s">
        <v>120</v>
      </c>
      <c r="B54" s="52">
        <v>6</v>
      </c>
      <c r="C54" s="51" t="s">
        <v>121</v>
      </c>
      <c r="D54" s="53">
        <v>8024999.9999999991</v>
      </c>
      <c r="E54" s="53">
        <f t="shared" ref="E54:E62" si="5">0.1*D54</f>
        <v>802500</v>
      </c>
      <c r="F54" s="53">
        <f t="shared" ref="F54:F61" si="6">D54-E54-L54</f>
        <v>7220372.666666666</v>
      </c>
      <c r="G54" s="54">
        <f>0.15*F54</f>
        <v>1083055.8999999999</v>
      </c>
      <c r="H54" s="54">
        <f>G54+F54</f>
        <v>8303428.5666666664</v>
      </c>
      <c r="I54" s="55">
        <v>45669</v>
      </c>
      <c r="J54" s="55" t="s">
        <v>122</v>
      </c>
      <c r="K54" s="56" t="s">
        <v>52</v>
      </c>
      <c r="L54" s="57">
        <v>2127.333333333333</v>
      </c>
    </row>
    <row r="55" spans="1:28" s="58" customFormat="1" ht="13.8" thickBot="1" x14ac:dyDescent="0.3">
      <c r="A55" s="51" t="s">
        <v>123</v>
      </c>
      <c r="B55" s="52">
        <v>6</v>
      </c>
      <c r="C55" s="51" t="s">
        <v>124</v>
      </c>
      <c r="D55" s="53">
        <v>7928935.4838709682</v>
      </c>
      <c r="E55" s="53">
        <f t="shared" si="5"/>
        <v>792893.54838709685</v>
      </c>
      <c r="F55" s="53">
        <f t="shared" si="6"/>
        <v>7134957.602150538</v>
      </c>
      <c r="G55" s="54">
        <f>0.15*F55</f>
        <v>1070243.6403225807</v>
      </c>
      <c r="H55" s="54">
        <f>G55+F55</f>
        <v>8205201.2424731189</v>
      </c>
      <c r="I55" s="55">
        <v>46023</v>
      </c>
      <c r="J55" s="55" t="s">
        <v>125</v>
      </c>
      <c r="K55" s="56" t="s">
        <v>52</v>
      </c>
      <c r="L55" s="57">
        <v>1084.3333333333335</v>
      </c>
    </row>
    <row r="56" spans="1:28" s="58" customFormat="1" ht="13.8" thickBot="1" x14ac:dyDescent="0.3">
      <c r="A56" s="51" t="s">
        <v>126</v>
      </c>
      <c r="B56" s="59">
        <v>6</v>
      </c>
      <c r="C56" s="51" t="s">
        <v>127</v>
      </c>
      <c r="D56" s="60">
        <v>7779821.42857143</v>
      </c>
      <c r="E56" s="53">
        <f t="shared" si="5"/>
        <v>777982.14285714307</v>
      </c>
      <c r="F56" s="53">
        <f t="shared" si="6"/>
        <v>7000518.92857143</v>
      </c>
      <c r="G56" s="54">
        <f>0.15*F56</f>
        <v>1050077.8392857146</v>
      </c>
      <c r="H56" s="54">
        <f>G56+F56</f>
        <v>8050596.7678571446</v>
      </c>
      <c r="I56" s="55">
        <v>46024</v>
      </c>
      <c r="J56" s="55" t="s">
        <v>128</v>
      </c>
      <c r="K56" s="56" t="s">
        <v>52</v>
      </c>
      <c r="L56" s="61">
        <v>1320.3571428571431</v>
      </c>
    </row>
    <row r="57" spans="1:28" s="58" customFormat="1" ht="13.8" thickBot="1" x14ac:dyDescent="0.3">
      <c r="A57" s="51" t="s">
        <v>129</v>
      </c>
      <c r="B57" s="59">
        <v>6</v>
      </c>
      <c r="C57" s="51" t="s">
        <v>130</v>
      </c>
      <c r="D57" s="60">
        <v>7623548.3870967748</v>
      </c>
      <c r="E57" s="53">
        <f t="shared" si="5"/>
        <v>762354.83870967757</v>
      </c>
      <c r="F57" s="53">
        <f t="shared" si="6"/>
        <v>6858567.0967741944</v>
      </c>
      <c r="G57" s="54">
        <v>1143138.2903225801</v>
      </c>
      <c r="H57" s="54">
        <v>8764060.2258064486</v>
      </c>
      <c r="I57" s="55">
        <v>46025</v>
      </c>
      <c r="J57" s="55" t="s">
        <v>131</v>
      </c>
      <c r="K57" s="56" t="s">
        <v>52</v>
      </c>
      <c r="L57" s="61">
        <v>2626.4516129032259</v>
      </c>
    </row>
    <row r="58" spans="1:28" s="58" customFormat="1" ht="13.8" thickBot="1" x14ac:dyDescent="0.3">
      <c r="A58" s="51" t="s">
        <v>132</v>
      </c>
      <c r="B58" s="59">
        <v>6</v>
      </c>
      <c r="C58" s="51" t="s">
        <v>133</v>
      </c>
      <c r="D58" s="60">
        <v>7644166.666666666</v>
      </c>
      <c r="E58" s="53">
        <f t="shared" si="5"/>
        <v>764416.66666666663</v>
      </c>
      <c r="F58" s="53">
        <f t="shared" si="6"/>
        <v>6877685.666666666</v>
      </c>
      <c r="G58" s="54">
        <f>0.15*F58</f>
        <v>1031652.8499999999</v>
      </c>
      <c r="H58" s="54">
        <f>G58+F58</f>
        <v>7909338.5166666657</v>
      </c>
      <c r="I58" s="55">
        <v>46026</v>
      </c>
      <c r="J58" s="55" t="s">
        <v>134</v>
      </c>
      <c r="K58" s="56" t="s">
        <v>52</v>
      </c>
      <c r="L58" s="61">
        <v>2064.333333333333</v>
      </c>
    </row>
    <row r="59" spans="1:28" s="58" customFormat="1" ht="13.8" thickBot="1" x14ac:dyDescent="0.3">
      <c r="A59" s="51" t="s">
        <v>135</v>
      </c>
      <c r="B59" s="59">
        <v>6</v>
      </c>
      <c r="C59" s="51" t="s">
        <v>136</v>
      </c>
      <c r="D59" s="60">
        <v>7453516.1290322617</v>
      </c>
      <c r="E59" s="53">
        <f t="shared" si="5"/>
        <v>745351.61290322617</v>
      </c>
      <c r="F59" s="53">
        <f t="shared" si="6"/>
        <v>6706093.5483871</v>
      </c>
      <c r="G59" s="54">
        <f>0.15*F59</f>
        <v>1005914.032258065</v>
      </c>
      <c r="H59" s="54">
        <f>G59+F59</f>
        <v>7712007.5806451645</v>
      </c>
      <c r="I59" s="55">
        <v>46026</v>
      </c>
      <c r="J59" s="55" t="s">
        <v>134</v>
      </c>
      <c r="K59" s="56" t="s">
        <v>52</v>
      </c>
      <c r="L59" s="61">
        <v>2070.9677419354844</v>
      </c>
      <c r="M59" s="58">
        <v>7461645.1612903234</v>
      </c>
    </row>
    <row r="60" spans="1:28" s="58" customFormat="1" ht="13.8" thickBot="1" x14ac:dyDescent="0.3">
      <c r="A60" s="51" t="s">
        <v>137</v>
      </c>
      <c r="B60" s="59">
        <v>6</v>
      </c>
      <c r="C60" s="51" t="s">
        <v>138</v>
      </c>
      <c r="D60" s="60">
        <v>6473266.6666666651</v>
      </c>
      <c r="E60" s="53">
        <f t="shared" si="5"/>
        <v>647326.66666666651</v>
      </c>
      <c r="F60" s="53">
        <f t="shared" si="6"/>
        <v>5824384.3333333312</v>
      </c>
      <c r="G60" s="54">
        <f>0.15*F60</f>
        <v>873657.64999999967</v>
      </c>
      <c r="H60" s="54">
        <f>G60+F60</f>
        <v>6698041.9833333306</v>
      </c>
      <c r="I60" s="55">
        <v>46027</v>
      </c>
      <c r="J60" s="55" t="s">
        <v>139</v>
      </c>
      <c r="K60" s="56" t="s">
        <v>52</v>
      </c>
      <c r="L60" s="61">
        <v>1555.6666666666667</v>
      </c>
      <c r="M60" s="58">
        <v>6683451.6129032299</v>
      </c>
    </row>
    <row r="61" spans="1:28" s="58" customFormat="1" ht="13.8" thickBot="1" x14ac:dyDescent="0.3">
      <c r="A61" s="51" t="s">
        <v>140</v>
      </c>
      <c r="B61" s="59">
        <v>6</v>
      </c>
      <c r="C61" s="51" t="s">
        <v>141</v>
      </c>
      <c r="D61" s="60">
        <v>6697290.3225806449</v>
      </c>
      <c r="E61" s="53">
        <f t="shared" si="5"/>
        <v>669729.03225806449</v>
      </c>
      <c r="F61" s="53">
        <f t="shared" si="6"/>
        <v>6027049.0322580645</v>
      </c>
      <c r="G61" s="54">
        <f>0.15*F61</f>
        <v>904057.3548387097</v>
      </c>
      <c r="H61" s="54">
        <f>G61+F61</f>
        <v>6931106.3870967738</v>
      </c>
      <c r="I61" s="55">
        <v>46028</v>
      </c>
      <c r="J61" s="55" t="s">
        <v>142</v>
      </c>
      <c r="K61" s="56" t="s">
        <v>52</v>
      </c>
      <c r="L61" s="61">
        <v>512.25806451612902</v>
      </c>
    </row>
    <row r="62" spans="1:28" ht="13.8" thickBot="1" x14ac:dyDescent="0.3">
      <c r="A62" s="62" t="s">
        <v>143</v>
      </c>
      <c r="B62" s="63"/>
      <c r="C62" s="64"/>
      <c r="D62" s="65">
        <f>SUM(D53:D61)</f>
        <v>62850445.084485404</v>
      </c>
      <c r="E62" s="65">
        <f t="shared" si="5"/>
        <v>6285044.5084485412</v>
      </c>
      <c r="F62" s="65">
        <f t="shared" ref="F62:H62" si="7">SUM(F53:F59)</f>
        <v>44699763.842549928</v>
      </c>
      <c r="G62" s="65">
        <f t="shared" si="7"/>
        <v>6819317.8021889403</v>
      </c>
      <c r="H62" s="65">
        <f t="shared" si="7"/>
        <v>52281436.483448543</v>
      </c>
      <c r="I62" s="66"/>
      <c r="J62" s="67"/>
      <c r="K62" s="66"/>
      <c r="L62" s="68">
        <f>SUM(L53:L61)</f>
        <v>14203.367895545316</v>
      </c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50"/>
    </row>
    <row r="63" spans="1:28" ht="13.8" thickBot="1" x14ac:dyDescent="0.3">
      <c r="A63" s="69" t="s">
        <v>144</v>
      </c>
      <c r="B63" s="70"/>
      <c r="C63" s="71"/>
      <c r="D63" s="72">
        <f>D52+D62</f>
        <v>188850445.08448541</v>
      </c>
      <c r="E63" s="72"/>
      <c r="F63" s="72">
        <f t="shared" ref="F63:K63" si="8">F52+F62</f>
        <v>170585443.57115206</v>
      </c>
      <c r="G63" s="72">
        <f t="shared" si="8"/>
        <v>25702169.761479259</v>
      </c>
      <c r="H63" s="72">
        <f t="shared" si="8"/>
        <v>197049968.171341</v>
      </c>
      <c r="I63" s="72">
        <f t="shared" si="8"/>
        <v>0</v>
      </c>
      <c r="J63" s="72">
        <f t="shared" si="8"/>
        <v>0</v>
      </c>
      <c r="K63" s="72">
        <f t="shared" si="8"/>
        <v>0</v>
      </c>
      <c r="L63" s="73"/>
    </row>
    <row r="64" spans="1:28" x14ac:dyDescent="0.25">
      <c r="A64" s="74">
        <v>202047668.35253468</v>
      </c>
      <c r="B64" s="75"/>
      <c r="C64" s="76">
        <f>D64*1.15</f>
        <v>202047668.35253468</v>
      </c>
      <c r="D64" s="77">
        <v>175693624.654378</v>
      </c>
      <c r="E64" s="77"/>
      <c r="F64" s="77"/>
      <c r="G64" s="77">
        <f>A64/M52</f>
        <v>1.3943938464633174</v>
      </c>
      <c r="H64" s="77"/>
      <c r="I64" s="78"/>
      <c r="J64" s="79"/>
      <c r="K64" s="78"/>
      <c r="L64" s="80"/>
    </row>
    <row r="65" spans="1:14" s="58" customFormat="1" x14ac:dyDescent="0.25">
      <c r="A65" s="81"/>
      <c r="B65" s="82"/>
      <c r="C65" s="81"/>
      <c r="D65" s="83"/>
      <c r="E65" s="83"/>
      <c r="F65" s="84"/>
      <c r="G65" s="85"/>
      <c r="H65" s="85"/>
      <c r="I65" s="86"/>
      <c r="J65" s="87"/>
      <c r="K65" s="88"/>
      <c r="L65" s="89"/>
    </row>
    <row r="66" spans="1:14" x14ac:dyDescent="0.25">
      <c r="A66" s="90" t="s">
        <v>145</v>
      </c>
      <c r="B66" s="91"/>
      <c r="C66" s="92">
        <f>D67-D52</f>
        <v>0</v>
      </c>
      <c r="D66" s="93">
        <f>D55-F66</f>
        <v>0</v>
      </c>
      <c r="E66" s="93"/>
      <c r="F66" s="34">
        <v>7928935.4838709682</v>
      </c>
      <c r="G66" s="34"/>
      <c r="H66" s="94">
        <v>8170833.3333333302</v>
      </c>
      <c r="I66" s="94"/>
      <c r="J66" s="94"/>
      <c r="K66" s="95">
        <v>42231979.493087597</v>
      </c>
    </row>
    <row r="67" spans="1:14" x14ac:dyDescent="0.25">
      <c r="D67" s="98">
        <v>126000000</v>
      </c>
      <c r="F67" s="34"/>
      <c r="G67" s="34"/>
      <c r="H67" s="94"/>
      <c r="I67" s="94"/>
      <c r="J67" s="94"/>
    </row>
    <row r="68" spans="1:14" x14ac:dyDescent="0.25">
      <c r="D68" s="98">
        <f>D52+D62</f>
        <v>188850445.08448541</v>
      </c>
      <c r="F68" s="34">
        <f>1.15*D68</f>
        <v>217178011.84715819</v>
      </c>
      <c r="G68" s="34">
        <f>D47+D46+D45</f>
        <v>8446612.9032258075</v>
      </c>
      <c r="H68" s="94"/>
      <c r="I68" s="94"/>
      <c r="J68" s="94"/>
      <c r="K68" s="99"/>
      <c r="N68" s="99"/>
    </row>
    <row r="69" spans="1:14" x14ac:dyDescent="0.25">
      <c r="A69" s="25">
        <v>3224900.0000000005</v>
      </c>
      <c r="C69" s="25">
        <f>D68/D67</f>
        <v>1.4988130562260746</v>
      </c>
      <c r="D69" s="98">
        <v>145195959.13933334</v>
      </c>
      <c r="F69" s="34"/>
      <c r="G69" s="34"/>
      <c r="H69" s="94"/>
      <c r="I69" s="94">
        <f>D67-L52</f>
        <v>125886399.72860216</v>
      </c>
      <c r="J69" s="94"/>
      <c r="K69" s="99"/>
      <c r="N69" s="99"/>
    </row>
    <row r="70" spans="1:14" x14ac:dyDescent="0.25">
      <c r="D70" s="98">
        <f>1.15*D68</f>
        <v>217178011.84715819</v>
      </c>
      <c r="F70" s="34">
        <v>126000000</v>
      </c>
      <c r="G70" s="34"/>
      <c r="H70" s="94"/>
      <c r="I70" s="94"/>
      <c r="J70" s="94"/>
      <c r="K70" s="99"/>
      <c r="N70" s="99"/>
    </row>
    <row r="71" spans="1:14" x14ac:dyDescent="0.25">
      <c r="A71" s="100">
        <f>A69-D53</f>
        <v>0</v>
      </c>
      <c r="D71" s="98">
        <f>D67-D52</f>
        <v>0</v>
      </c>
      <c r="F71" s="34">
        <v>80321710.939999998</v>
      </c>
      <c r="G71" s="34"/>
      <c r="H71" s="94"/>
      <c r="I71" s="94"/>
      <c r="J71" s="94"/>
    </row>
    <row r="72" spans="1:14" x14ac:dyDescent="0.25">
      <c r="C72" s="25">
        <v>1.3351744404213299</v>
      </c>
      <c r="D72" s="98">
        <v>193466776.41705099</v>
      </c>
      <c r="F72" s="34">
        <v>40657758.030000001</v>
      </c>
      <c r="G72" s="34"/>
      <c r="H72" s="94"/>
      <c r="I72" s="94"/>
      <c r="J72" s="94"/>
    </row>
    <row r="73" spans="1:14" x14ac:dyDescent="0.25">
      <c r="A73" s="101">
        <v>3215733.333333333</v>
      </c>
      <c r="F73" s="34">
        <f>F70-F71-F72</f>
        <v>5020531.0300000012</v>
      </c>
      <c r="G73" s="34"/>
      <c r="H73" s="94"/>
      <c r="I73" s="94"/>
      <c r="J73" s="94"/>
    </row>
    <row r="74" spans="1:14" x14ac:dyDescent="0.25">
      <c r="F74" s="34"/>
      <c r="G74" s="34"/>
      <c r="H74" s="94"/>
      <c r="I74" s="94"/>
      <c r="J74" s="94"/>
    </row>
    <row r="75" spans="1:14" x14ac:dyDescent="0.25">
      <c r="F75" s="34"/>
      <c r="G75" s="34"/>
      <c r="H75" s="94"/>
      <c r="I75" s="94"/>
      <c r="J75" s="94"/>
    </row>
    <row r="76" spans="1:14" x14ac:dyDescent="0.25">
      <c r="F76" s="34"/>
      <c r="G76" s="34"/>
      <c r="H76" s="94"/>
      <c r="I76" s="94"/>
      <c r="J76" s="94"/>
    </row>
    <row r="77" spans="1:14" x14ac:dyDescent="0.25">
      <c r="F77" s="34"/>
      <c r="G77" s="34"/>
      <c r="H77" s="94"/>
      <c r="I77" s="94"/>
      <c r="J77" s="94"/>
    </row>
  </sheetData>
  <autoFilter ref="A3:L68" xr:uid="{07027772-0F35-42DA-ABF1-AB27B05BD9DE}">
    <filterColumn colId="8" showButton="0"/>
  </autoFilter>
  <mergeCells count="12">
    <mergeCell ref="K3:K4"/>
    <mergeCell ref="L3:L4"/>
    <mergeCell ref="D1:J1"/>
    <mergeCell ref="F2:H2"/>
    <mergeCell ref="A3:A4"/>
    <mergeCell ref="C3:C4"/>
    <mergeCell ref="D3:D4"/>
    <mergeCell ref="E3:E4"/>
    <mergeCell ref="F3:F4"/>
    <mergeCell ref="G3:G4"/>
    <mergeCell ref="H3:H4"/>
    <mergeCell ref="I3:J3"/>
  </mergeCells>
  <conditionalFormatting sqref="B1:B1048576">
    <cfRule type="cellIs" dxfId="10" priority="1" operator="equal">
      <formula>5</formula>
    </cfRule>
    <cfRule type="cellIs" dxfId="9" priority="2" operator="equal">
      <formula>4</formula>
    </cfRule>
    <cfRule type="cellIs" dxfId="8" priority="3" operator="equal">
      <formula>3</formula>
    </cfRule>
    <cfRule type="cellIs" dxfId="7" priority="4" operator="equal">
      <formula>2</formula>
    </cfRule>
    <cfRule type="cellIs" dxfId="6" priority="5" operator="equal">
      <formula>1</formula>
    </cfRule>
  </conditionalFormatting>
  <conditionalFormatting sqref="K1:K62 K64:K1048576">
    <cfRule type="cellIs" dxfId="5" priority="6" operator="equal">
      <formula>$N$19</formula>
    </cfRule>
    <cfRule type="cellIs" dxfId="4" priority="7" operator="equal">
      <formula>$N$17</formula>
    </cfRule>
    <cfRule type="cellIs" dxfId="3" priority="8" operator="equal">
      <formula>$N$16</formula>
    </cfRule>
  </conditionalFormatting>
  <conditionalFormatting sqref="N16:N17 N19">
    <cfRule type="cellIs" dxfId="2" priority="9" operator="equal">
      <formula>#REF!</formula>
    </cfRule>
    <cfRule type="cellIs" dxfId="1" priority="10" operator="equal">
      <formula>$K$29</formula>
    </cfRule>
    <cfRule type="cellIs" dxfId="0" priority="11" operator="equal">
      <formula>$K$13</formula>
    </cfRule>
  </conditionalFormatting>
  <printOptions horizontalCentered="1"/>
  <pageMargins left="0.7" right="0.7" top="0.75" bottom="0.75" header="0.3" footer="0.3"/>
  <pageSetup paperSize="9" scale="68" fitToHeight="0" orientation="landscape" r:id="rId1"/>
  <headerFooter>
    <oddFooter>&amp;L&amp;D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إجمالي المستخلصات_</vt:lpstr>
      <vt:lpstr>'إجمالي المستخلصات_'!Print_Area</vt:lpstr>
      <vt:lpstr>'إجمالي المستخلصات_'!Print_Titles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sadat Ahmed</dc:creator>
  <cp:lastModifiedBy>sadat Ahmed</cp:lastModifiedBy>
  <dcterms:created xsi:type="dcterms:W3CDTF">2026-08-20T05:42:11Z</dcterms:created>
  <dcterms:modified xsi:type="dcterms:W3CDTF">2026-08-20T05:42:45Z</dcterms:modified>
</cp:coreProperties>
</file>