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AI/HR/Invoices/"/>
    </mc:Choice>
  </mc:AlternateContent>
  <xr:revisionPtr revIDLastSave="45" documentId="8_{8728662A-0B2E-4C53-B718-884E56573701}" xr6:coauthVersionLast="47" xr6:coauthVersionMax="47" xr10:uidLastSave="{8B66D7F4-3EEE-49E9-BB41-CE1D0EB341F2}"/>
  <bookViews>
    <workbookView xWindow="-108" yWindow="-108" windowWidth="23256" windowHeight="13896" activeTab="1" xr2:uid="{6E34EB8F-4CE5-4947-8BF3-1B57B121FCF5}"/>
  </bookViews>
  <sheets>
    <sheet name="ToTal_From PO_6_underway" sheetId="8" r:id="rId1"/>
    <sheet name="35" sheetId="20" r:id="rId2"/>
    <sheet name="34" sheetId="19" r:id="rId3"/>
    <sheet name="33" sheetId="18" r:id="rId4"/>
    <sheet name="32" sheetId="17" r:id="rId5"/>
    <sheet name="31" sheetId="16" r:id="rId6"/>
    <sheet name="30" sheetId="15" r:id="rId7"/>
    <sheet name="29" sheetId="14" r:id="rId8"/>
    <sheet name="28" sheetId="13" r:id="rId9"/>
    <sheet name="27_D" sheetId="12" r:id="rId10"/>
  </sheets>
  <definedNames>
    <definedName name="_xlnm.Print_Area" localSheetId="9">'27_D'!$A$1:$R$39</definedName>
    <definedName name="_xlnm.Print_Area" localSheetId="8">'28'!$A$1:$R$39</definedName>
    <definedName name="_xlnm.Print_Area" localSheetId="7">'29'!$A$1:$R$39</definedName>
    <definedName name="_xlnm.Print_Area" localSheetId="6">'30'!$A$1:$R$39</definedName>
    <definedName name="_xlnm.Print_Area" localSheetId="5">'31'!$A$1:$R$39</definedName>
    <definedName name="_xlnm.Print_Area" localSheetId="4">'32'!$A$1:$R$39</definedName>
    <definedName name="_xlnm.Print_Area" localSheetId="3">'33'!$A$1:$R$39</definedName>
    <definedName name="_xlnm.Print_Area" localSheetId="2">'34'!$A$1:$R$39</definedName>
    <definedName name="_xlnm.Print_Area" localSheetId="1">'35'!$A$1:$R$39</definedName>
    <definedName name="_xlnm.Print_Area" localSheetId="0">'ToTal_From PO_6_underway'!$A$1:$N$39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8" l="1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K35" i="8"/>
  <c r="L35" i="8" s="1"/>
  <c r="K6" i="8"/>
  <c r="L6" i="8" s="1"/>
  <c r="P36" i="20"/>
  <c r="L36" i="20"/>
  <c r="K36" i="20"/>
  <c r="H36" i="20"/>
  <c r="Q35" i="20"/>
  <c r="N35" i="20"/>
  <c r="R35" i="20" s="1"/>
  <c r="Q34" i="20"/>
  <c r="N34" i="20"/>
  <c r="R34" i="20" s="1"/>
  <c r="Q33" i="20"/>
  <c r="N33" i="20"/>
  <c r="R33" i="20" s="1"/>
  <c r="R32" i="20"/>
  <c r="Q32" i="20"/>
  <c r="N32" i="20"/>
  <c r="Q31" i="20"/>
  <c r="N31" i="20"/>
  <c r="R31" i="20" s="1"/>
  <c r="Q30" i="20"/>
  <c r="N30" i="20"/>
  <c r="R30" i="20" s="1"/>
  <c r="Q29" i="20"/>
  <c r="N29" i="20"/>
  <c r="R29" i="20" s="1"/>
  <c r="Q28" i="20"/>
  <c r="N28" i="20"/>
  <c r="R28" i="20" s="1"/>
  <c r="R27" i="20"/>
  <c r="Q27" i="20"/>
  <c r="N27" i="20"/>
  <c r="Q26" i="20"/>
  <c r="N26" i="20"/>
  <c r="R26" i="20" s="1"/>
  <c r="Q25" i="20"/>
  <c r="N25" i="20"/>
  <c r="R25" i="20" s="1"/>
  <c r="Q24" i="20"/>
  <c r="N24" i="20"/>
  <c r="R24" i="20" s="1"/>
  <c r="Q23" i="20"/>
  <c r="N23" i="20"/>
  <c r="R23" i="20" s="1"/>
  <c r="Q22" i="20"/>
  <c r="N22" i="20"/>
  <c r="R22" i="20" s="1"/>
  <c r="Q21" i="20"/>
  <c r="N21" i="20"/>
  <c r="R21" i="20" s="1"/>
  <c r="Q20" i="20"/>
  <c r="N20" i="20"/>
  <c r="R20" i="20" s="1"/>
  <c r="Q19" i="20"/>
  <c r="N19" i="20"/>
  <c r="R19" i="20" s="1"/>
  <c r="Q18" i="20"/>
  <c r="N18" i="20"/>
  <c r="R18" i="20" s="1"/>
  <c r="Q17" i="20"/>
  <c r="N17" i="20"/>
  <c r="R17" i="20" s="1"/>
  <c r="Q16" i="20"/>
  <c r="N16" i="20"/>
  <c r="R16" i="20" s="1"/>
  <c r="Q15" i="20"/>
  <c r="N15" i="20"/>
  <c r="R15" i="20" s="1"/>
  <c r="Q14" i="20"/>
  <c r="N14" i="20"/>
  <c r="R14" i="20" s="1"/>
  <c r="Q13" i="20"/>
  <c r="N13" i="20"/>
  <c r="R13" i="20" s="1"/>
  <c r="Q12" i="20"/>
  <c r="N12" i="20"/>
  <c r="R12" i="20" s="1"/>
  <c r="Q11" i="20"/>
  <c r="N11" i="20"/>
  <c r="R11" i="20" s="1"/>
  <c r="Q10" i="20"/>
  <c r="N10" i="20"/>
  <c r="R10" i="20" s="1"/>
  <c r="Q9" i="20"/>
  <c r="N9" i="20"/>
  <c r="R9" i="20" s="1"/>
  <c r="R8" i="20"/>
  <c r="Q8" i="20"/>
  <c r="N8" i="20"/>
  <c r="Q7" i="20"/>
  <c r="N7" i="20"/>
  <c r="R7" i="20" s="1"/>
  <c r="Q6" i="20"/>
  <c r="N6" i="20"/>
  <c r="P36" i="19"/>
  <c r="L36" i="19"/>
  <c r="K36" i="19"/>
  <c r="H36" i="19"/>
  <c r="Q35" i="19"/>
  <c r="N35" i="19"/>
  <c r="R35" i="19" s="1"/>
  <c r="Q34" i="19"/>
  <c r="N34" i="19"/>
  <c r="R34" i="19" s="1"/>
  <c r="Q33" i="19"/>
  <c r="N33" i="19"/>
  <c r="R33" i="19" s="1"/>
  <c r="Q32" i="19"/>
  <c r="N32" i="19"/>
  <c r="R32" i="19" s="1"/>
  <c r="Q31" i="19"/>
  <c r="N31" i="19"/>
  <c r="R31" i="19" s="1"/>
  <c r="Q30" i="19"/>
  <c r="N30" i="19"/>
  <c r="R30" i="19" s="1"/>
  <c r="Q29" i="19"/>
  <c r="N29" i="19"/>
  <c r="R29" i="19" s="1"/>
  <c r="Q28" i="19"/>
  <c r="N28" i="19"/>
  <c r="R28" i="19" s="1"/>
  <c r="Q27" i="19"/>
  <c r="N27" i="19"/>
  <c r="R27" i="19" s="1"/>
  <c r="R26" i="19"/>
  <c r="Q26" i="19"/>
  <c r="N26" i="19"/>
  <c r="Q25" i="19"/>
  <c r="N25" i="19"/>
  <c r="R25" i="19" s="1"/>
  <c r="Q24" i="19"/>
  <c r="N24" i="19"/>
  <c r="R24" i="19" s="1"/>
  <c r="Q23" i="19"/>
  <c r="N23" i="19"/>
  <c r="R23" i="19" s="1"/>
  <c r="Q22" i="19"/>
  <c r="N22" i="19"/>
  <c r="R22" i="19" s="1"/>
  <c r="Q21" i="19"/>
  <c r="N21" i="19"/>
  <c r="R21" i="19" s="1"/>
  <c r="Q20" i="19"/>
  <c r="N20" i="19"/>
  <c r="R20" i="19" s="1"/>
  <c r="Q19" i="19"/>
  <c r="N19" i="19"/>
  <c r="R19" i="19" s="1"/>
  <c r="Q18" i="19"/>
  <c r="N18" i="19"/>
  <c r="R18" i="19" s="1"/>
  <c r="Q17" i="19"/>
  <c r="N17" i="19"/>
  <c r="R17" i="19" s="1"/>
  <c r="Q16" i="19"/>
  <c r="N16" i="19"/>
  <c r="R16" i="19" s="1"/>
  <c r="Q15" i="19"/>
  <c r="N15" i="19"/>
  <c r="R15" i="19" s="1"/>
  <c r="Q14" i="19"/>
  <c r="N14" i="19"/>
  <c r="R14" i="19" s="1"/>
  <c r="R13" i="19"/>
  <c r="Q13" i="19"/>
  <c r="N13" i="19"/>
  <c r="Q12" i="19"/>
  <c r="N12" i="19"/>
  <c r="R12" i="19" s="1"/>
  <c r="Q11" i="19"/>
  <c r="N11" i="19"/>
  <c r="R11" i="19" s="1"/>
  <c r="Q10" i="19"/>
  <c r="N10" i="19"/>
  <c r="R10" i="19" s="1"/>
  <c r="Q9" i="19"/>
  <c r="N9" i="19"/>
  <c r="R9" i="19" s="1"/>
  <c r="Q8" i="19"/>
  <c r="N8" i="19"/>
  <c r="R8" i="19" s="1"/>
  <c r="Q7" i="19"/>
  <c r="N7" i="19"/>
  <c r="R7" i="19" s="1"/>
  <c r="Q6" i="19"/>
  <c r="N6" i="19"/>
  <c r="P36" i="18"/>
  <c r="L36" i="18"/>
  <c r="K36" i="18"/>
  <c r="H36" i="18"/>
  <c r="Q35" i="18"/>
  <c r="N35" i="18"/>
  <c r="R35" i="18" s="1"/>
  <c r="Q34" i="18"/>
  <c r="N34" i="18"/>
  <c r="R34" i="18" s="1"/>
  <c r="Q33" i="18"/>
  <c r="N33" i="18"/>
  <c r="R33" i="18" s="1"/>
  <c r="Q32" i="18"/>
  <c r="N32" i="18"/>
  <c r="R32" i="18" s="1"/>
  <c r="Q31" i="18"/>
  <c r="N31" i="18"/>
  <c r="R31" i="18" s="1"/>
  <c r="Q30" i="18"/>
  <c r="N30" i="18"/>
  <c r="R30" i="18" s="1"/>
  <c r="Q29" i="18"/>
  <c r="N29" i="18"/>
  <c r="R29" i="18" s="1"/>
  <c r="Q28" i="18"/>
  <c r="N28" i="18"/>
  <c r="R28" i="18" s="1"/>
  <c r="Q27" i="18"/>
  <c r="N27" i="18"/>
  <c r="R27" i="18" s="1"/>
  <c r="Q26" i="18"/>
  <c r="N26" i="18"/>
  <c r="R26" i="18" s="1"/>
  <c r="Q25" i="18"/>
  <c r="N25" i="18"/>
  <c r="R25" i="18" s="1"/>
  <c r="Q24" i="18"/>
  <c r="N24" i="18"/>
  <c r="R24" i="18" s="1"/>
  <c r="Q23" i="18"/>
  <c r="N23" i="18"/>
  <c r="R23" i="18" s="1"/>
  <c r="R22" i="18"/>
  <c r="Q22" i="18"/>
  <c r="N22" i="18"/>
  <c r="Q21" i="18"/>
  <c r="N21" i="18"/>
  <c r="R21" i="18" s="1"/>
  <c r="Q20" i="18"/>
  <c r="N20" i="18"/>
  <c r="R20" i="18" s="1"/>
  <c r="Q19" i="18"/>
  <c r="N19" i="18"/>
  <c r="R19" i="18" s="1"/>
  <c r="Q18" i="18"/>
  <c r="N18" i="18"/>
  <c r="R18" i="18" s="1"/>
  <c r="Q17" i="18"/>
  <c r="N17" i="18"/>
  <c r="R17" i="18" s="1"/>
  <c r="Q16" i="18"/>
  <c r="N16" i="18"/>
  <c r="R16" i="18" s="1"/>
  <c r="Q15" i="18"/>
  <c r="N15" i="18"/>
  <c r="R15" i="18" s="1"/>
  <c r="Q14" i="18"/>
  <c r="N14" i="18"/>
  <c r="R14" i="18" s="1"/>
  <c r="Q13" i="18"/>
  <c r="N13" i="18"/>
  <c r="R13" i="18" s="1"/>
  <c r="Q12" i="18"/>
  <c r="N12" i="18"/>
  <c r="R12" i="18" s="1"/>
  <c r="Q11" i="18"/>
  <c r="N11" i="18"/>
  <c r="R11" i="18" s="1"/>
  <c r="Q10" i="18"/>
  <c r="N10" i="18"/>
  <c r="R10" i="18" s="1"/>
  <c r="Q9" i="18"/>
  <c r="N9" i="18"/>
  <c r="R9" i="18" s="1"/>
  <c r="Q8" i="18"/>
  <c r="N8" i="18"/>
  <c r="R8" i="18" s="1"/>
  <c r="Q7" i="18"/>
  <c r="N7" i="18"/>
  <c r="R7" i="18" s="1"/>
  <c r="R6" i="18"/>
  <c r="R36" i="18" s="1"/>
  <c r="Q6" i="18"/>
  <c r="N6" i="18"/>
  <c r="N36" i="18" s="1"/>
  <c r="P36" i="17"/>
  <c r="L36" i="17"/>
  <c r="K36" i="17"/>
  <c r="I36" i="17"/>
  <c r="Q35" i="17"/>
  <c r="N35" i="17"/>
  <c r="R35" i="17" s="1"/>
  <c r="Q34" i="17"/>
  <c r="N34" i="17"/>
  <c r="R34" i="17" s="1"/>
  <c r="R33" i="17"/>
  <c r="Q33" i="17"/>
  <c r="N33" i="17"/>
  <c r="Q32" i="17"/>
  <c r="N32" i="17"/>
  <c r="R32" i="17" s="1"/>
  <c r="Q31" i="17"/>
  <c r="N31" i="17"/>
  <c r="R31" i="17" s="1"/>
  <c r="R30" i="17"/>
  <c r="Q30" i="17"/>
  <c r="N30" i="17"/>
  <c r="Q29" i="17"/>
  <c r="N29" i="17"/>
  <c r="R29" i="17" s="1"/>
  <c r="Q28" i="17"/>
  <c r="N28" i="17"/>
  <c r="R28" i="17" s="1"/>
  <c r="Q27" i="17"/>
  <c r="N27" i="17"/>
  <c r="R27" i="17" s="1"/>
  <c r="Q26" i="17"/>
  <c r="N26" i="17"/>
  <c r="R26" i="17" s="1"/>
  <c r="Q25" i="17"/>
  <c r="N25" i="17"/>
  <c r="R25" i="17" s="1"/>
  <c r="Q24" i="17"/>
  <c r="N24" i="17"/>
  <c r="R24" i="17" s="1"/>
  <c r="Q23" i="17"/>
  <c r="N23" i="17"/>
  <c r="R23" i="17" s="1"/>
  <c r="Q22" i="17"/>
  <c r="N22" i="17"/>
  <c r="R22" i="17" s="1"/>
  <c r="Q21" i="17"/>
  <c r="N21" i="17"/>
  <c r="R21" i="17" s="1"/>
  <c r="Q20" i="17"/>
  <c r="N20" i="17"/>
  <c r="R20" i="17" s="1"/>
  <c r="Q19" i="17"/>
  <c r="N19" i="17"/>
  <c r="R19" i="17" s="1"/>
  <c r="Q18" i="17"/>
  <c r="N18" i="17"/>
  <c r="R18" i="17" s="1"/>
  <c r="Q17" i="17"/>
  <c r="N17" i="17"/>
  <c r="R17" i="17" s="1"/>
  <c r="Q16" i="17"/>
  <c r="N16" i="17"/>
  <c r="R16" i="17" s="1"/>
  <c r="Q15" i="17"/>
  <c r="N15" i="17"/>
  <c r="R15" i="17" s="1"/>
  <c r="Q14" i="17"/>
  <c r="N14" i="17"/>
  <c r="R14" i="17" s="1"/>
  <c r="Q13" i="17"/>
  <c r="N13" i="17"/>
  <c r="R13" i="17" s="1"/>
  <c r="Q12" i="17"/>
  <c r="N12" i="17"/>
  <c r="R12" i="17" s="1"/>
  <c r="Q11" i="17"/>
  <c r="N11" i="17"/>
  <c r="R11" i="17" s="1"/>
  <c r="Q10" i="17"/>
  <c r="N10" i="17"/>
  <c r="R10" i="17" s="1"/>
  <c r="Q9" i="17"/>
  <c r="N9" i="17"/>
  <c r="R9" i="17" s="1"/>
  <c r="Q8" i="17"/>
  <c r="N8" i="17"/>
  <c r="R8" i="17" s="1"/>
  <c r="Q7" i="17"/>
  <c r="N7" i="17"/>
  <c r="R7" i="17" s="1"/>
  <c r="Q6" i="17"/>
  <c r="N6" i="17"/>
  <c r="P36" i="16"/>
  <c r="L36" i="16"/>
  <c r="K36" i="16"/>
  <c r="H36" i="16"/>
  <c r="Q35" i="16"/>
  <c r="N35" i="16"/>
  <c r="R35" i="16" s="1"/>
  <c r="R34" i="16"/>
  <c r="Q34" i="16"/>
  <c r="N34" i="16"/>
  <c r="Q33" i="16"/>
  <c r="N33" i="16"/>
  <c r="R33" i="16" s="1"/>
  <c r="Q32" i="16"/>
  <c r="N32" i="16"/>
  <c r="R32" i="16" s="1"/>
  <c r="Q31" i="16"/>
  <c r="N31" i="16"/>
  <c r="R31" i="16" s="1"/>
  <c r="Q30" i="16"/>
  <c r="N30" i="16"/>
  <c r="R30" i="16" s="1"/>
  <c r="Q29" i="16"/>
  <c r="N29" i="16"/>
  <c r="R29" i="16" s="1"/>
  <c r="Q28" i="16"/>
  <c r="N28" i="16"/>
  <c r="R28" i="16" s="1"/>
  <c r="Q27" i="16"/>
  <c r="N27" i="16"/>
  <c r="R27" i="16" s="1"/>
  <c r="Q26" i="16"/>
  <c r="N26" i="16"/>
  <c r="R26" i="16" s="1"/>
  <c r="Q25" i="16"/>
  <c r="N25" i="16"/>
  <c r="R25" i="16" s="1"/>
  <c r="Q24" i="16"/>
  <c r="N24" i="16"/>
  <c r="R24" i="16" s="1"/>
  <c r="Q23" i="16"/>
  <c r="N23" i="16"/>
  <c r="R23" i="16" s="1"/>
  <c r="Q22" i="16"/>
  <c r="N22" i="16"/>
  <c r="R22" i="16" s="1"/>
  <c r="Q21" i="16"/>
  <c r="N21" i="16"/>
  <c r="R21" i="16" s="1"/>
  <c r="Q20" i="16"/>
  <c r="N20" i="16"/>
  <c r="R20" i="16" s="1"/>
  <c r="Q19" i="16"/>
  <c r="N19" i="16"/>
  <c r="R19" i="16" s="1"/>
  <c r="Q18" i="16"/>
  <c r="N18" i="16"/>
  <c r="R18" i="16" s="1"/>
  <c r="Q17" i="16"/>
  <c r="N17" i="16"/>
  <c r="R17" i="16" s="1"/>
  <c r="Q16" i="16"/>
  <c r="N16" i="16"/>
  <c r="R16" i="16" s="1"/>
  <c r="Q15" i="16"/>
  <c r="N15" i="16"/>
  <c r="R15" i="16" s="1"/>
  <c r="Q14" i="16"/>
  <c r="N14" i="16"/>
  <c r="R14" i="16" s="1"/>
  <c r="Q13" i="16"/>
  <c r="N13" i="16"/>
  <c r="R13" i="16" s="1"/>
  <c r="Q12" i="16"/>
  <c r="N12" i="16"/>
  <c r="R12" i="16" s="1"/>
  <c r="Q11" i="16"/>
  <c r="N11" i="16"/>
  <c r="R11" i="16" s="1"/>
  <c r="Q10" i="16"/>
  <c r="N10" i="16"/>
  <c r="R10" i="16" s="1"/>
  <c r="Q9" i="16"/>
  <c r="N9" i="16"/>
  <c r="R9" i="16" s="1"/>
  <c r="Q8" i="16"/>
  <c r="N8" i="16"/>
  <c r="R8" i="16" s="1"/>
  <c r="Q7" i="16"/>
  <c r="N7" i="16"/>
  <c r="R7" i="16" s="1"/>
  <c r="Q6" i="16"/>
  <c r="N6" i="16"/>
  <c r="P36" i="15"/>
  <c r="L36" i="15"/>
  <c r="K36" i="15"/>
  <c r="H36" i="15"/>
  <c r="Q35" i="15"/>
  <c r="N35" i="15"/>
  <c r="R35" i="15" s="1"/>
  <c r="Q34" i="15"/>
  <c r="N34" i="15"/>
  <c r="R34" i="15" s="1"/>
  <c r="R33" i="15"/>
  <c r="Q33" i="15"/>
  <c r="N33" i="15"/>
  <c r="Q32" i="15"/>
  <c r="N32" i="15"/>
  <c r="R32" i="15" s="1"/>
  <c r="Q31" i="15"/>
  <c r="N31" i="15"/>
  <c r="R31" i="15" s="1"/>
  <c r="Q30" i="15"/>
  <c r="N30" i="15"/>
  <c r="R30" i="15" s="1"/>
  <c r="R29" i="15"/>
  <c r="Q29" i="15"/>
  <c r="N29" i="15"/>
  <c r="Q28" i="15"/>
  <c r="N28" i="15"/>
  <c r="R28" i="15" s="1"/>
  <c r="Q27" i="15"/>
  <c r="N27" i="15"/>
  <c r="R27" i="15" s="1"/>
  <c r="Q26" i="15"/>
  <c r="N26" i="15"/>
  <c r="R26" i="15" s="1"/>
  <c r="Q25" i="15"/>
  <c r="N25" i="15"/>
  <c r="R25" i="15" s="1"/>
  <c r="Q24" i="15"/>
  <c r="N24" i="15"/>
  <c r="R24" i="15" s="1"/>
  <c r="Q23" i="15"/>
  <c r="N23" i="15"/>
  <c r="R23" i="15" s="1"/>
  <c r="Q22" i="15"/>
  <c r="N22" i="15"/>
  <c r="R22" i="15" s="1"/>
  <c r="Q21" i="15"/>
  <c r="N21" i="15"/>
  <c r="R21" i="15" s="1"/>
  <c r="Q20" i="15"/>
  <c r="N20" i="15"/>
  <c r="R20" i="15" s="1"/>
  <c r="Q19" i="15"/>
  <c r="N19" i="15"/>
  <c r="R19" i="15" s="1"/>
  <c r="Q18" i="15"/>
  <c r="N18" i="15"/>
  <c r="R18" i="15" s="1"/>
  <c r="Q17" i="15"/>
  <c r="N17" i="15"/>
  <c r="R17" i="15" s="1"/>
  <c r="Q16" i="15"/>
  <c r="N16" i="15"/>
  <c r="R16" i="15" s="1"/>
  <c r="Q15" i="15"/>
  <c r="N15" i="15"/>
  <c r="R15" i="15" s="1"/>
  <c r="Q14" i="15"/>
  <c r="N14" i="15"/>
  <c r="R14" i="15" s="1"/>
  <c r="Q13" i="15"/>
  <c r="N13" i="15"/>
  <c r="R13" i="15" s="1"/>
  <c r="Q12" i="15"/>
  <c r="N12" i="15"/>
  <c r="R12" i="15" s="1"/>
  <c r="Q11" i="15"/>
  <c r="N11" i="15"/>
  <c r="R11" i="15" s="1"/>
  <c r="Q10" i="15"/>
  <c r="N10" i="15"/>
  <c r="R10" i="15" s="1"/>
  <c r="Q9" i="15"/>
  <c r="N9" i="15"/>
  <c r="R9" i="15" s="1"/>
  <c r="Q8" i="15"/>
  <c r="N8" i="15"/>
  <c r="R8" i="15" s="1"/>
  <c r="Q7" i="15"/>
  <c r="N7" i="15"/>
  <c r="R7" i="15" s="1"/>
  <c r="Q6" i="15"/>
  <c r="N6" i="15"/>
  <c r="P36" i="14"/>
  <c r="L36" i="14"/>
  <c r="K36" i="14"/>
  <c r="I36" i="14"/>
  <c r="Q35" i="14"/>
  <c r="N35" i="14"/>
  <c r="R35" i="14" s="1"/>
  <c r="Q34" i="14"/>
  <c r="N34" i="14"/>
  <c r="R34" i="14" s="1"/>
  <c r="Q33" i="14"/>
  <c r="N33" i="14"/>
  <c r="R33" i="14" s="1"/>
  <c r="Q32" i="14"/>
  <c r="N32" i="14"/>
  <c r="R32" i="14" s="1"/>
  <c r="Q31" i="14"/>
  <c r="N31" i="14"/>
  <c r="R31" i="14" s="1"/>
  <c r="Q30" i="14"/>
  <c r="N30" i="14"/>
  <c r="R30" i="14" s="1"/>
  <c r="Q29" i="14"/>
  <c r="N29" i="14"/>
  <c r="R29" i="14" s="1"/>
  <c r="Q28" i="14"/>
  <c r="N28" i="14"/>
  <c r="R28" i="14" s="1"/>
  <c r="Q27" i="14"/>
  <c r="N27" i="14"/>
  <c r="R27" i="14" s="1"/>
  <c r="Q26" i="14"/>
  <c r="N26" i="14"/>
  <c r="R26" i="14" s="1"/>
  <c r="Q25" i="14"/>
  <c r="N25" i="14"/>
  <c r="R25" i="14" s="1"/>
  <c r="Q24" i="14"/>
  <c r="N24" i="14"/>
  <c r="R24" i="14" s="1"/>
  <c r="Q23" i="14"/>
  <c r="N23" i="14"/>
  <c r="R23" i="14" s="1"/>
  <c r="Q22" i="14"/>
  <c r="N22" i="14"/>
  <c r="R22" i="14" s="1"/>
  <c r="Q21" i="14"/>
  <c r="N21" i="14"/>
  <c r="R21" i="14" s="1"/>
  <c r="Q20" i="14"/>
  <c r="N20" i="14"/>
  <c r="R20" i="14" s="1"/>
  <c r="Q19" i="14"/>
  <c r="N19" i="14"/>
  <c r="R19" i="14" s="1"/>
  <c r="Q18" i="14"/>
  <c r="N18" i="14"/>
  <c r="R18" i="14" s="1"/>
  <c r="Q17" i="14"/>
  <c r="N17" i="14"/>
  <c r="R17" i="14" s="1"/>
  <c r="Q16" i="14"/>
  <c r="N16" i="14"/>
  <c r="R16" i="14" s="1"/>
  <c r="Q15" i="14"/>
  <c r="N15" i="14"/>
  <c r="R15" i="14" s="1"/>
  <c r="Q14" i="14"/>
  <c r="N14" i="14"/>
  <c r="R14" i="14" s="1"/>
  <c r="Q13" i="14"/>
  <c r="N13" i="14"/>
  <c r="R13" i="14" s="1"/>
  <c r="Q12" i="14"/>
  <c r="N12" i="14"/>
  <c r="R12" i="14" s="1"/>
  <c r="Q11" i="14"/>
  <c r="N11" i="14"/>
  <c r="R11" i="14" s="1"/>
  <c r="Q10" i="14"/>
  <c r="N10" i="14"/>
  <c r="R10" i="14" s="1"/>
  <c r="Q9" i="14"/>
  <c r="N9" i="14"/>
  <c r="R9" i="14" s="1"/>
  <c r="Q8" i="14"/>
  <c r="N8" i="14"/>
  <c r="R8" i="14" s="1"/>
  <c r="Q7" i="14"/>
  <c r="N7" i="14"/>
  <c r="R7" i="14" s="1"/>
  <c r="Q6" i="14"/>
  <c r="N6" i="14"/>
  <c r="P36" i="13"/>
  <c r="L36" i="13"/>
  <c r="E36" i="13"/>
  <c r="Q35" i="13"/>
  <c r="N35" i="13"/>
  <c r="R35" i="13" s="1"/>
  <c r="H35" i="13"/>
  <c r="G35" i="13"/>
  <c r="Q34" i="13"/>
  <c r="N34" i="13"/>
  <c r="R34" i="13" s="1"/>
  <c r="H34" i="13"/>
  <c r="G34" i="13"/>
  <c r="Q33" i="13"/>
  <c r="N33" i="13"/>
  <c r="R33" i="13" s="1"/>
  <c r="H33" i="13"/>
  <c r="Q32" i="13"/>
  <c r="N32" i="13"/>
  <c r="R32" i="13" s="1"/>
  <c r="H32" i="13"/>
  <c r="Q31" i="13"/>
  <c r="N31" i="13"/>
  <c r="R31" i="13" s="1"/>
  <c r="H31" i="13"/>
  <c r="Q30" i="13"/>
  <c r="N30" i="13"/>
  <c r="R30" i="13" s="1"/>
  <c r="H30" i="13"/>
  <c r="Q29" i="13"/>
  <c r="N29" i="13"/>
  <c r="R29" i="13" s="1"/>
  <c r="H29" i="13"/>
  <c r="G29" i="13"/>
  <c r="Q28" i="13"/>
  <c r="N28" i="13"/>
  <c r="R28" i="13" s="1"/>
  <c r="H28" i="13"/>
  <c r="Q27" i="13"/>
  <c r="N27" i="13"/>
  <c r="R27" i="13" s="1"/>
  <c r="H27" i="13"/>
  <c r="Q26" i="13"/>
  <c r="N26" i="13"/>
  <c r="R26" i="13" s="1"/>
  <c r="H26" i="13"/>
  <c r="Q25" i="13"/>
  <c r="N25" i="13"/>
  <c r="R25" i="13" s="1"/>
  <c r="H25" i="13"/>
  <c r="G25" i="13"/>
  <c r="Q24" i="13"/>
  <c r="N24" i="13"/>
  <c r="R24" i="13" s="1"/>
  <c r="H24" i="13"/>
  <c r="G24" i="13"/>
  <c r="Q23" i="13"/>
  <c r="N23" i="13"/>
  <c r="R23" i="13" s="1"/>
  <c r="H23" i="13"/>
  <c r="G23" i="13"/>
  <c r="Q22" i="13"/>
  <c r="N22" i="13"/>
  <c r="R22" i="13" s="1"/>
  <c r="H22" i="13"/>
  <c r="G22" i="13"/>
  <c r="Q21" i="13"/>
  <c r="N21" i="13"/>
  <c r="R21" i="13" s="1"/>
  <c r="H21" i="13"/>
  <c r="G21" i="13"/>
  <c r="Q20" i="13"/>
  <c r="N20" i="13"/>
  <c r="R20" i="13" s="1"/>
  <c r="H20" i="13"/>
  <c r="G20" i="13"/>
  <c r="Q19" i="13"/>
  <c r="N19" i="13"/>
  <c r="R19" i="13" s="1"/>
  <c r="H19" i="13"/>
  <c r="G19" i="13"/>
  <c r="Q18" i="13"/>
  <c r="N18" i="13"/>
  <c r="R18" i="13" s="1"/>
  <c r="H18" i="13"/>
  <c r="G18" i="13"/>
  <c r="Q17" i="13"/>
  <c r="N17" i="13"/>
  <c r="R17" i="13" s="1"/>
  <c r="H17" i="13"/>
  <c r="G17" i="13"/>
  <c r="Q16" i="13"/>
  <c r="N16" i="13"/>
  <c r="R16" i="13" s="1"/>
  <c r="H16" i="13"/>
  <c r="G16" i="13"/>
  <c r="R15" i="13"/>
  <c r="Q15" i="13"/>
  <c r="N15" i="13"/>
  <c r="H15" i="13"/>
  <c r="G15" i="13"/>
  <c r="Q14" i="13"/>
  <c r="N14" i="13"/>
  <c r="R14" i="13" s="1"/>
  <c r="H14" i="13"/>
  <c r="G14" i="13"/>
  <c r="Q13" i="13"/>
  <c r="N13" i="13"/>
  <c r="R13" i="13" s="1"/>
  <c r="H13" i="13"/>
  <c r="G13" i="13"/>
  <c r="Q12" i="13"/>
  <c r="N12" i="13"/>
  <c r="R12" i="13" s="1"/>
  <c r="H12" i="13"/>
  <c r="G12" i="13"/>
  <c r="Q11" i="13"/>
  <c r="N11" i="13"/>
  <c r="R11" i="13" s="1"/>
  <c r="H11" i="13"/>
  <c r="G11" i="13"/>
  <c r="Q10" i="13"/>
  <c r="N10" i="13"/>
  <c r="R10" i="13" s="1"/>
  <c r="H10" i="13"/>
  <c r="G10" i="13"/>
  <c r="Q9" i="13"/>
  <c r="N9" i="13"/>
  <c r="R9" i="13" s="1"/>
  <c r="H9" i="13"/>
  <c r="G9" i="13"/>
  <c r="R8" i="13"/>
  <c r="Q8" i="13"/>
  <c r="N8" i="13"/>
  <c r="H8" i="13"/>
  <c r="G8" i="13"/>
  <c r="Q7" i="13"/>
  <c r="N7" i="13"/>
  <c r="R7" i="13" s="1"/>
  <c r="H7" i="13"/>
  <c r="G7" i="13"/>
  <c r="Q6" i="13"/>
  <c r="N6" i="13"/>
  <c r="H6" i="13"/>
  <c r="H36" i="13" s="1"/>
  <c r="G6" i="13"/>
  <c r="G36" i="13" s="1"/>
  <c r="P36" i="12"/>
  <c r="L36" i="12"/>
  <c r="K36" i="12"/>
  <c r="H36" i="12"/>
  <c r="Q35" i="12"/>
  <c r="N35" i="12"/>
  <c r="R35" i="12" s="1"/>
  <c r="Q34" i="12"/>
  <c r="N34" i="12"/>
  <c r="R34" i="12" s="1"/>
  <c r="Q33" i="12"/>
  <c r="N33" i="12"/>
  <c r="R33" i="12" s="1"/>
  <c r="Q32" i="12"/>
  <c r="N32" i="12"/>
  <c r="R32" i="12" s="1"/>
  <c r="Q31" i="12"/>
  <c r="N31" i="12"/>
  <c r="R31" i="12" s="1"/>
  <c r="Q30" i="12"/>
  <c r="N30" i="12"/>
  <c r="R30" i="12" s="1"/>
  <c r="Q29" i="12"/>
  <c r="N29" i="12"/>
  <c r="R29" i="12" s="1"/>
  <c r="Q28" i="12"/>
  <c r="N28" i="12"/>
  <c r="R28" i="12" s="1"/>
  <c r="Q27" i="12"/>
  <c r="N27" i="12"/>
  <c r="R27" i="12" s="1"/>
  <c r="Q26" i="12"/>
  <c r="N26" i="12"/>
  <c r="R26" i="12" s="1"/>
  <c r="Q25" i="12"/>
  <c r="N25" i="12"/>
  <c r="R25" i="12" s="1"/>
  <c r="Q24" i="12"/>
  <c r="N24" i="12"/>
  <c r="R24" i="12" s="1"/>
  <c r="Q23" i="12"/>
  <c r="N23" i="12"/>
  <c r="R23" i="12" s="1"/>
  <c r="Q22" i="12"/>
  <c r="N22" i="12"/>
  <c r="R22" i="12" s="1"/>
  <c r="Q21" i="12"/>
  <c r="N21" i="12"/>
  <c r="R21" i="12" s="1"/>
  <c r="Q20" i="12"/>
  <c r="N20" i="12"/>
  <c r="R20" i="12" s="1"/>
  <c r="Q19" i="12"/>
  <c r="N19" i="12"/>
  <c r="R19" i="12" s="1"/>
  <c r="Q18" i="12"/>
  <c r="N18" i="12"/>
  <c r="R18" i="12" s="1"/>
  <c r="Q17" i="12"/>
  <c r="N17" i="12"/>
  <c r="R17" i="12" s="1"/>
  <c r="Q16" i="12"/>
  <c r="N16" i="12"/>
  <c r="R16" i="12" s="1"/>
  <c r="Q15" i="12"/>
  <c r="N15" i="12"/>
  <c r="R15" i="12" s="1"/>
  <c r="Q14" i="12"/>
  <c r="N14" i="12"/>
  <c r="R14" i="12" s="1"/>
  <c r="R13" i="12"/>
  <c r="Q13" i="12"/>
  <c r="N13" i="12"/>
  <c r="Q12" i="12"/>
  <c r="N12" i="12"/>
  <c r="R12" i="12" s="1"/>
  <c r="Q11" i="12"/>
  <c r="N11" i="12"/>
  <c r="R11" i="12" s="1"/>
  <c r="Q10" i="12"/>
  <c r="N10" i="12"/>
  <c r="R10" i="12" s="1"/>
  <c r="Q9" i="12"/>
  <c r="N9" i="12"/>
  <c r="R9" i="12" s="1"/>
  <c r="Q8" i="12"/>
  <c r="N8" i="12"/>
  <c r="R8" i="12" s="1"/>
  <c r="Q7" i="12"/>
  <c r="N7" i="12"/>
  <c r="R7" i="12" s="1"/>
  <c r="Q6" i="12"/>
  <c r="N6" i="12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6" i="8"/>
  <c r="E36" i="8"/>
  <c r="H35" i="8"/>
  <c r="G35" i="8"/>
  <c r="H34" i="8"/>
  <c r="G34" i="8"/>
  <c r="H33" i="8"/>
  <c r="H32" i="8"/>
  <c r="H31" i="8"/>
  <c r="H30" i="8"/>
  <c r="H29" i="8"/>
  <c r="G29" i="8"/>
  <c r="H28" i="8"/>
  <c r="H27" i="8"/>
  <c r="H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H36" i="8" s="1"/>
  <c r="G6" i="8"/>
  <c r="G36" i="8" s="1"/>
  <c r="P37" i="20" l="1"/>
  <c r="P38" i="20" s="1"/>
  <c r="L37" i="20"/>
  <c r="L38" i="20" s="1"/>
  <c r="N36" i="20"/>
  <c r="R6" i="20"/>
  <c r="R36" i="20" s="1"/>
  <c r="P37" i="19"/>
  <c r="P38" i="19" s="1"/>
  <c r="L37" i="19"/>
  <c r="L38" i="19" s="1"/>
  <c r="R6" i="19"/>
  <c r="R36" i="19" s="1"/>
  <c r="N36" i="19"/>
  <c r="P37" i="18"/>
  <c r="P38" i="18" s="1"/>
  <c r="L38" i="18"/>
  <c r="L37" i="18"/>
  <c r="R39" i="18"/>
  <c r="R37" i="18"/>
  <c r="R38" i="18" s="1"/>
  <c r="N37" i="18"/>
  <c r="N38" i="18" s="1"/>
  <c r="N39" i="18"/>
  <c r="P37" i="17"/>
  <c r="P38" i="17" s="1"/>
  <c r="L37" i="17"/>
  <c r="L38" i="17" s="1"/>
  <c r="N36" i="17"/>
  <c r="R6" i="17"/>
  <c r="R36" i="17" s="1"/>
  <c r="P37" i="16"/>
  <c r="P38" i="16" s="1"/>
  <c r="L37" i="16"/>
  <c r="L38" i="16" s="1"/>
  <c r="R6" i="16"/>
  <c r="R36" i="16" s="1"/>
  <c r="N36" i="16"/>
  <c r="P37" i="15"/>
  <c r="P38" i="15" s="1"/>
  <c r="L37" i="15"/>
  <c r="L38" i="15"/>
  <c r="N36" i="15"/>
  <c r="R6" i="15"/>
  <c r="R36" i="15" s="1"/>
  <c r="P37" i="14"/>
  <c r="P38" i="14" s="1"/>
  <c r="L37" i="14"/>
  <c r="L38" i="14" s="1"/>
  <c r="N36" i="14"/>
  <c r="R6" i="14"/>
  <c r="R36" i="14" s="1"/>
  <c r="P37" i="13"/>
  <c r="P38" i="13"/>
  <c r="N36" i="13"/>
  <c r="R6" i="13"/>
  <c r="R36" i="13" s="1"/>
  <c r="H37" i="13"/>
  <c r="H38" i="13" s="1"/>
  <c r="P37" i="12"/>
  <c r="P38" i="12" s="1"/>
  <c r="L37" i="12"/>
  <c r="L38" i="12" s="1"/>
  <c r="N36" i="12"/>
  <c r="R6" i="12"/>
  <c r="R36" i="12" s="1"/>
  <c r="L36" i="8"/>
  <c r="L37" i="8" s="1"/>
  <c r="L38" i="8" s="1"/>
  <c r="J36" i="8"/>
  <c r="N36" i="8"/>
  <c r="H37" i="8"/>
  <c r="H38" i="8"/>
  <c r="N37" i="20" l="1"/>
  <c r="N38" i="20" s="1"/>
  <c r="N39" i="20"/>
  <c r="R37" i="20"/>
  <c r="R38" i="20" s="1"/>
  <c r="R39" i="20"/>
  <c r="R39" i="19"/>
  <c r="R37" i="19"/>
  <c r="R38" i="19" s="1"/>
  <c r="N39" i="19"/>
  <c r="N37" i="19"/>
  <c r="N38" i="19" s="1"/>
  <c r="N37" i="17"/>
  <c r="N38" i="17"/>
  <c r="N39" i="17"/>
  <c r="R37" i="17"/>
  <c r="R38" i="17"/>
  <c r="R39" i="17"/>
  <c r="R37" i="16"/>
  <c r="R38" i="16" s="1"/>
  <c r="R39" i="16"/>
  <c r="N37" i="16"/>
  <c r="N38" i="16" s="1"/>
  <c r="N39" i="16"/>
  <c r="N37" i="15"/>
  <c r="N39" i="15"/>
  <c r="N38" i="15"/>
  <c r="R37" i="15"/>
  <c r="R38" i="15"/>
  <c r="R39" i="15"/>
  <c r="N37" i="14"/>
  <c r="N38" i="14"/>
  <c r="N39" i="14"/>
  <c r="R37" i="14"/>
  <c r="R38" i="14"/>
  <c r="R39" i="14"/>
  <c r="N37" i="13"/>
  <c r="N38" i="13" s="1"/>
  <c r="N39" i="13"/>
  <c r="R39" i="13"/>
  <c r="R37" i="13"/>
  <c r="R38" i="13" s="1"/>
  <c r="N37" i="12"/>
  <c r="N38" i="12"/>
  <c r="N39" i="12"/>
  <c r="R37" i="12"/>
  <c r="R38" i="12"/>
  <c r="R39" i="12"/>
  <c r="J37" i="8"/>
  <c r="J38" i="8" s="1"/>
  <c r="J39" i="8"/>
  <c r="N37" i="8"/>
  <c r="N38" i="8"/>
  <c r="N39" i="8"/>
</calcChain>
</file>

<file path=xl/sharedStrings.xml><?xml version="1.0" encoding="utf-8"?>
<sst xmlns="http://schemas.openxmlformats.org/spreadsheetml/2006/main" count="923" uniqueCount="84">
  <si>
    <t xml:space="preserve"> ملخص  المستخلص رقم (27-D )</t>
  </si>
  <si>
    <t>القطاع الجنوبي</t>
  </si>
  <si>
    <t>عن الفترة مـن 2025/11/01م  حتى  2025/11/30</t>
  </si>
  <si>
    <t>مدة العقد =60 شهر ميلادي</t>
  </si>
  <si>
    <t>رقم العقد = 101230258</t>
  </si>
  <si>
    <t>مشروع :  إتفاقية الخدمات الهندسية والإستشارية لتقديم خدمات الإشراف على تنفيذ مشاريع المياه والصرف الصحي بالقطاع الجنوبي</t>
  </si>
  <si>
    <t>م</t>
  </si>
  <si>
    <t>الوصف</t>
  </si>
  <si>
    <t>الوحدة</t>
  </si>
  <si>
    <t>السعر الافرادي</t>
  </si>
  <si>
    <t xml:space="preserve">العقد الاساسي </t>
  </si>
  <si>
    <t xml:space="preserve">المستحق عن الفترة </t>
  </si>
  <si>
    <t>السابق</t>
  </si>
  <si>
    <t xml:space="preserve">الاجمالي </t>
  </si>
  <si>
    <t>الكمية</t>
  </si>
  <si>
    <t xml:space="preserve">المدة </t>
  </si>
  <si>
    <t xml:space="preserve">المبلغ  الاجمالي </t>
  </si>
  <si>
    <t>المدة الاجمالية  لفترة المستحلص</t>
  </si>
  <si>
    <t>المبلغ الاجمالي لفترة المستخلص</t>
  </si>
  <si>
    <t>المدة الاجمالية السابقة (شهر)</t>
  </si>
  <si>
    <t>المبلغ الاجمالي السابق</t>
  </si>
  <si>
    <t>اجمالي المدة</t>
  </si>
  <si>
    <t xml:space="preserve">المبلغ الاجمالي </t>
  </si>
  <si>
    <t>مدير المشروع</t>
  </si>
  <si>
    <t>عدد</t>
  </si>
  <si>
    <t>مهندس مقيم E1</t>
  </si>
  <si>
    <t>مهندس مقيم E2</t>
  </si>
  <si>
    <t>مهندس مقيم E3</t>
  </si>
  <si>
    <t>مهندس موقع E2</t>
  </si>
  <si>
    <t>مهندس موقع E3</t>
  </si>
  <si>
    <t>مهندس ميكانيكا E2</t>
  </si>
  <si>
    <t>مهندس ميكانيكا E3</t>
  </si>
  <si>
    <t>مهندس كهرباء وتحكم E2</t>
  </si>
  <si>
    <t>مهندس كهرباء وتحكم E3</t>
  </si>
  <si>
    <t>مهندس أمن وسلامة E2</t>
  </si>
  <si>
    <t>مهندس أمن وسلامة E3</t>
  </si>
  <si>
    <t>مهندس تخطيط E1</t>
  </si>
  <si>
    <t>مهندس تخطيط E2</t>
  </si>
  <si>
    <t>مهندس تخطيط E3</t>
  </si>
  <si>
    <t>مهندس مواد وجودة E2</t>
  </si>
  <si>
    <t>مهندس مواد وجودة E3</t>
  </si>
  <si>
    <t>مهندس كيميائي E1</t>
  </si>
  <si>
    <t>مهندس كيميائي E2</t>
  </si>
  <si>
    <t>مهندس كيميائي E3</t>
  </si>
  <si>
    <t>حاسب كميات E2</t>
  </si>
  <si>
    <t>حاسب كميات E3</t>
  </si>
  <si>
    <t>مراقب موقع E2</t>
  </si>
  <si>
    <t>مراقب موقع E3</t>
  </si>
  <si>
    <t>مساح E2</t>
  </si>
  <si>
    <t>مساح E3</t>
  </si>
  <si>
    <t>مراقب أمن وسلامة E2</t>
  </si>
  <si>
    <t>مراقب أمن وسلامة E3</t>
  </si>
  <si>
    <t>أخصائي وثائق E2</t>
  </si>
  <si>
    <t>أخصائي وثائق E3</t>
  </si>
  <si>
    <t>الإجمـــــــــــــــــــــــــــــالي</t>
  </si>
  <si>
    <t>قيمة الضريبة  المضافة</t>
  </si>
  <si>
    <t xml:space="preserve">الإجمـــــــــــــــــــــــــــــالي بعد اضافة 15% قيمة مضافة </t>
  </si>
  <si>
    <t>نسبة المستحق لاجمالي العقد</t>
  </si>
  <si>
    <t xml:space="preserve"> ملخص  المستخلص رقم (28 )</t>
  </si>
  <si>
    <t>عن الفترة مـن 2026/1/01م  حتى  2026/1/31</t>
  </si>
  <si>
    <t xml:space="preserve"> ملخص  المستخلص رقم (29)</t>
  </si>
  <si>
    <t xml:space="preserve"> ملخص  المستخلص رقم (30)</t>
  </si>
  <si>
    <t>عن الفترة مـن 2026/2/01م  حتى  2026/2/28</t>
  </si>
  <si>
    <t xml:space="preserve"> ملخص  المستخلص رقم (31)</t>
  </si>
  <si>
    <t>عن الفترة مـن 2026/3/01م  حتى  2026/3/31</t>
  </si>
  <si>
    <t xml:space="preserve"> ملخص  المستخلص رقم (32)</t>
  </si>
  <si>
    <t>عن الفترة مـن 2026/4/01م  حتى  2026/4/30</t>
  </si>
  <si>
    <t xml:space="preserve"> ملخص  المستخلص رقم (33)</t>
  </si>
  <si>
    <t>الاجمالي (ريال)</t>
  </si>
  <si>
    <t>امر الشراء رقم 6</t>
  </si>
  <si>
    <t>إجمالي المستخلصات</t>
  </si>
  <si>
    <t>المتبقي حسب
 كميات المستخلص</t>
  </si>
  <si>
    <t>حسابات أمر الشراء (PO3 ) حسب كميات المستخلص</t>
  </si>
  <si>
    <t>عن الفترة مـن 2026/6/01م  حتى  2026/6/30</t>
  </si>
  <si>
    <t>ملخص صرف امر شراء رقم 6</t>
  </si>
  <si>
    <t>قيمة العقد الأساسية = 126,000,000 ريال</t>
  </si>
  <si>
    <t>قيمة العقد المعدلة المعتمدة  = 305,111,979 ريال</t>
  </si>
  <si>
    <t>الجدول المعدل رقم (1)</t>
  </si>
  <si>
    <t>المدة الاجمالية 
 لفترة المستحلص</t>
  </si>
  <si>
    <t>المبلغ الاجمالي
لفترة المستخلص</t>
  </si>
  <si>
    <t>المبلغ الاجمالي 
السابق</t>
  </si>
  <si>
    <t>عن الفترة مـن 2026/12/01م  حتى  2026/12/31</t>
  </si>
  <si>
    <t>عن الفترة مـن 2026/5/01م  حتى  2026/5/31</t>
  </si>
  <si>
    <t xml:space="preserve"> ملخص  المستخلص رقم 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</si>
</sst>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-* #,##0.00_-;_-* #,##0.00\-;_-* &quot;-&quot;??_-;_-@_-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theme="1"/>
      <name val="Traditional Arabic"/>
      <family val="1"/>
    </font>
    <font>
      <b/>
      <sz val="18"/>
      <color theme="1"/>
      <name val="Traditional Arabic"/>
      <family val="1"/>
    </font>
    <font>
      <sz val="18"/>
      <color theme="1"/>
      <name val="Traditional Arabic"/>
      <family val="1"/>
    </font>
    <font>
      <b/>
      <sz val="18"/>
      <color rgb="FF000000"/>
      <name val="Traditional Arabic"/>
      <family val="1"/>
    </font>
    <font>
      <sz val="22"/>
      <color theme="1"/>
      <name val="Arial"/>
      <family val="2"/>
      <scheme val="minor"/>
    </font>
    <font>
      <b/>
      <sz val="22"/>
      <color rgb="FF000000"/>
      <name val="Traditional Arabic"/>
      <family val="1"/>
    </font>
    <font>
      <b/>
      <sz val="14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36"/>
      <color rgb="FFFF0000"/>
      <name val="Arial"/>
      <family val="2"/>
      <scheme val="minor"/>
    </font>
    <font>
      <b/>
      <u/>
      <sz val="18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 vertical="center"/>
    </xf>
    <xf numFmtId="0" fontId="4" fillId="0" borderId="0" xfId="1" applyFont="1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 readingOrder="2"/>
    </xf>
    <xf numFmtId="0" fontId="6" fillId="0" borderId="5" xfId="1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readingOrder="2"/>
    </xf>
    <xf numFmtId="2" fontId="6" fillId="0" borderId="5" xfId="1" applyNumberFormat="1" applyFont="1" applyBorder="1" applyAlignment="1">
      <alignment horizontal="center" vertical="center"/>
    </xf>
    <xf numFmtId="4" fontId="8" fillId="0" borderId="6" xfId="1" applyNumberFormat="1" applyFont="1" applyBorder="1" applyAlignment="1">
      <alignment horizontal="center" vertical="center"/>
    </xf>
    <xf numFmtId="0" fontId="9" fillId="0" borderId="0" xfId="1" applyFont="1"/>
    <xf numFmtId="4" fontId="9" fillId="0" borderId="0" xfId="1" applyNumberFormat="1" applyFont="1"/>
    <xf numFmtId="4" fontId="6" fillId="0" borderId="5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readingOrder="2"/>
    </xf>
    <xf numFmtId="0" fontId="6" fillId="3" borderId="5" xfId="1" applyFont="1" applyFill="1" applyBorder="1" applyAlignment="1">
      <alignment horizontal="center" vertical="center"/>
    </xf>
    <xf numFmtId="4" fontId="8" fillId="3" borderId="5" xfId="1" applyNumberFormat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 readingOrder="2"/>
    </xf>
    <xf numFmtId="2" fontId="6" fillId="3" borderId="5" xfId="1" applyNumberFormat="1" applyFont="1" applyFill="1" applyBorder="1" applyAlignment="1">
      <alignment horizontal="center" vertical="center"/>
    </xf>
    <xf numFmtId="4" fontId="6" fillId="3" borderId="5" xfId="1" applyNumberFormat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 readingOrder="2"/>
    </xf>
    <xf numFmtId="0" fontId="6" fillId="0" borderId="8" xfId="1" applyFont="1" applyBorder="1" applyAlignment="1">
      <alignment horizontal="center" vertical="center"/>
    </xf>
    <xf numFmtId="4" fontId="8" fillId="0" borderId="8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 readingOrder="2"/>
    </xf>
    <xf numFmtId="2" fontId="6" fillId="0" borderId="8" xfId="1" applyNumberFormat="1" applyFont="1" applyBorder="1" applyAlignment="1">
      <alignment horizontal="center" vertical="center"/>
    </xf>
    <xf numFmtId="4" fontId="8" fillId="0" borderId="9" xfId="1" applyNumberFormat="1" applyFont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 readingOrder="2"/>
    </xf>
    <xf numFmtId="4" fontId="5" fillId="2" borderId="2" xfId="1" applyNumberFormat="1" applyFont="1" applyFill="1" applyBorder="1" applyAlignment="1">
      <alignment horizontal="right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4" fontId="5" fillId="2" borderId="2" xfId="1" applyNumberFormat="1" applyFont="1" applyFill="1" applyBorder="1" applyAlignment="1">
      <alignment horizontal="center" vertical="center" readingOrder="2"/>
    </xf>
    <xf numFmtId="4" fontId="5" fillId="2" borderId="3" xfId="1" applyNumberFormat="1" applyFont="1" applyFill="1" applyBorder="1" applyAlignment="1">
      <alignment horizontal="center" vertical="center" readingOrder="2"/>
    </xf>
    <xf numFmtId="4" fontId="6" fillId="0" borderId="0" xfId="1" applyNumberFormat="1" applyFont="1" applyAlignment="1">
      <alignment horizontal="center" vertical="center"/>
    </xf>
    <xf numFmtId="4" fontId="5" fillId="2" borderId="5" xfId="1" applyNumberFormat="1" applyFont="1" applyFill="1" applyBorder="1" applyAlignment="1">
      <alignment horizontal="center" vertical="center" readingOrder="2"/>
    </xf>
    <xf numFmtId="0" fontId="5" fillId="2" borderId="5" xfId="1" applyFont="1" applyFill="1" applyBorder="1" applyAlignment="1">
      <alignment horizontal="center" vertical="center" readingOrder="2"/>
    </xf>
    <xf numFmtId="164" fontId="5" fillId="2" borderId="5" xfId="1" applyNumberFormat="1" applyFont="1" applyFill="1" applyBorder="1" applyAlignment="1">
      <alignment horizontal="center" vertical="center" readingOrder="2"/>
    </xf>
    <xf numFmtId="164" fontId="5" fillId="2" borderId="6" xfId="1" applyNumberFormat="1" applyFont="1" applyFill="1" applyBorder="1" applyAlignment="1">
      <alignment horizontal="center" vertical="center" readingOrder="2"/>
    </xf>
    <xf numFmtId="9" fontId="5" fillId="2" borderId="11" xfId="2" applyFont="1" applyFill="1" applyBorder="1" applyAlignment="1">
      <alignment horizontal="center" vertical="center" readingOrder="2"/>
    </xf>
    <xf numFmtId="4" fontId="5" fillId="2" borderId="11" xfId="1" applyNumberFormat="1" applyFont="1" applyFill="1" applyBorder="1" applyAlignment="1">
      <alignment horizontal="center" vertical="center" readingOrder="2"/>
    </xf>
    <xf numFmtId="10" fontId="5" fillId="2" borderId="11" xfId="2" applyNumberFormat="1" applyFont="1" applyFill="1" applyBorder="1" applyAlignment="1">
      <alignment horizontal="center" vertical="center" readingOrder="2"/>
    </xf>
    <xf numFmtId="10" fontId="10" fillId="2" borderId="12" xfId="2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165" fontId="5" fillId="2" borderId="5" xfId="3" applyFont="1" applyFill="1" applyBorder="1" applyAlignment="1">
      <alignment horizontal="center" vertical="center"/>
    </xf>
    <xf numFmtId="165" fontId="6" fillId="0" borderId="5" xfId="3" applyFont="1" applyBorder="1" applyAlignment="1">
      <alignment horizontal="center" vertical="center"/>
    </xf>
    <xf numFmtId="165" fontId="6" fillId="3" borderId="5" xfId="3" applyFont="1" applyFill="1" applyBorder="1" applyAlignment="1">
      <alignment horizontal="center" vertical="center"/>
    </xf>
    <xf numFmtId="165" fontId="6" fillId="0" borderId="8" xfId="3" applyFont="1" applyBorder="1" applyAlignment="1">
      <alignment horizontal="center" vertical="center"/>
    </xf>
    <xf numFmtId="4" fontId="5" fillId="2" borderId="2" xfId="1" applyNumberFormat="1" applyFont="1" applyFill="1" applyBorder="1" applyAlignment="1">
      <alignment horizontal="center" vertical="center"/>
    </xf>
    <xf numFmtId="165" fontId="5" fillId="2" borderId="2" xfId="3" applyFont="1" applyFill="1" applyBorder="1" applyAlignment="1">
      <alignment horizontal="center" vertical="center" readingOrder="2"/>
    </xf>
    <xf numFmtId="165" fontId="1" fillId="0" borderId="0" xfId="3" applyFont="1"/>
    <xf numFmtId="0" fontId="3" fillId="0" borderId="0" xfId="1" applyFont="1"/>
    <xf numFmtId="165" fontId="5" fillId="2" borderId="5" xfId="4" applyFont="1" applyFill="1" applyBorder="1" applyAlignment="1">
      <alignment horizontal="center" vertical="center"/>
    </xf>
    <xf numFmtId="165" fontId="6" fillId="0" borderId="5" xfId="4" applyFont="1" applyBorder="1" applyAlignment="1">
      <alignment horizontal="center" vertical="center"/>
    </xf>
    <xf numFmtId="165" fontId="6" fillId="3" borderId="5" xfId="4" applyFont="1" applyFill="1" applyBorder="1" applyAlignment="1">
      <alignment horizontal="center" vertical="center"/>
    </xf>
    <xf numFmtId="165" fontId="6" fillId="0" borderId="8" xfId="4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 wrapText="1" readingOrder="1"/>
    </xf>
    <xf numFmtId="0" fontId="11" fillId="4" borderId="14" xfId="0" applyFont="1" applyFill="1" applyBorder="1" applyAlignment="1">
      <alignment horizontal="center" vertical="center" readingOrder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4" fillId="5" borderId="16" xfId="1" applyFont="1" applyFill="1" applyBorder="1" applyAlignment="1">
      <alignment horizontal="center" vertical="center" wrapText="1"/>
    </xf>
    <xf numFmtId="0" fontId="14" fillId="5" borderId="17" xfId="1" applyFont="1" applyFill="1" applyBorder="1" applyAlignment="1">
      <alignment horizontal="center" vertical="center" wrapText="1"/>
    </xf>
    <xf numFmtId="0" fontId="14" fillId="5" borderId="18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</cellXfs>
  <cellStyles count="5">
    <cellStyle name="Comma 2" xfId="3" xr:uid="{DA05805F-F994-40C5-AAB2-A34CE13C720A}"/>
    <cellStyle name="Comma 2 2" xfId="4" xr:uid="{65057370-6B93-438B-A4E3-6B51A5518D16}"/>
    <cellStyle name="Normal" xfId="0" builtinId="0"/>
    <cellStyle name="Normal 4 2" xfId="1" xr:uid="{B7D8C78D-0408-4B71-9C73-F07A687D093A}"/>
    <cellStyle name="Percent 3 2" xfId="2" xr:uid="{8B2FEADE-F9E6-4742-A139-942078E25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1615441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B1F37-7313-485E-A769-7AD219527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0628239" y="34637"/>
          <a:ext cx="1977983" cy="666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883676</xdr:colOff>
      <xdr:row>0</xdr:row>
      <xdr:rowOff>27215</xdr:rowOff>
    </xdr:from>
    <xdr:to>
      <xdr:col>13</xdr:col>
      <xdr:colOff>1507965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12E5D-622E-4BA3-83C1-F4BD0F8F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1365675" y="27215"/>
          <a:ext cx="2514049" cy="445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1767841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864CF-4613-4840-9737-2CFD676D1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512159" y="34637"/>
          <a:ext cx="213038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BA4032-1072-4EC9-9259-90A99710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1158241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DDFFF-C00B-4610-8060-80A07D554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2159859" y="34637"/>
          <a:ext cx="152078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4A124-F412-4F2E-ACE4-0BEA4B2A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2286001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53E32-C732-4317-97A2-C9246702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032099" y="34637"/>
          <a:ext cx="264854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620BF3-7AA3-426D-9AA1-140AC419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1554481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79395-F114-4846-B950-77B86949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52139" y="34637"/>
          <a:ext cx="191702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25455-C6E6-416C-855D-A4E6BBF8B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4157</xdr:rowOff>
    </xdr:from>
    <xdr:to>
      <xdr:col>1</xdr:col>
      <xdr:colOff>1795103</xdr:colOff>
      <xdr:row>1</xdr:row>
      <xdr:rowOff>181520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2A621-9532-4BF5-8603-0C14BFFE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522997" y="4157"/>
          <a:ext cx="246566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85E43D-2FE7-46E9-AC4F-FB876C0C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1463041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46AF3-9416-4BF0-88C0-C09AC676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3935319" y="34637"/>
          <a:ext cx="182558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4715B3-D645-4F47-BE71-046AB1788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1539241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3DEC7-D111-4920-BB0D-4C9AC47FD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2129379" y="34637"/>
          <a:ext cx="190178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1BDFE4-353C-4B20-8AC9-E62E04AB2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308018</xdr:colOff>
      <xdr:row>0</xdr:row>
      <xdr:rowOff>34637</xdr:rowOff>
    </xdr:from>
    <xdr:to>
      <xdr:col>1</xdr:col>
      <xdr:colOff>2057401</xdr:colOff>
      <xdr:row>1</xdr:row>
      <xdr:rowOff>212000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BADFA-472A-435D-B37D-0FFB0E59F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931259" y="34637"/>
          <a:ext cx="2419943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C2AC2E-C834-4B39-9541-A2778461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49877</xdr:rowOff>
    </xdr:from>
    <xdr:to>
      <xdr:col>2</xdr:col>
      <xdr:colOff>304800</xdr:colOff>
      <xdr:row>1</xdr:row>
      <xdr:rowOff>227240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58C37-8FA0-4FB9-9F9F-4FE6DCF09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7046840" y="49877"/>
          <a:ext cx="2407920" cy="64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396240</xdr:colOff>
      <xdr:row>0</xdr:row>
      <xdr:rowOff>27214</xdr:rowOff>
    </xdr:from>
    <xdr:to>
      <xdr:col>17</xdr:col>
      <xdr:colOff>2193765</xdr:colOff>
      <xdr:row>1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31001-C79C-4A4E-A759-B1D0997B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7982395" y="27214"/>
          <a:ext cx="1797525" cy="55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6082-2018-4E38-AADC-E9181C111BB3}">
  <sheetPr>
    <tabColor theme="8" tint="-0.249977111117893"/>
    <pageSetUpPr fitToPage="1"/>
  </sheetPr>
  <dimension ref="A1:U39"/>
  <sheetViews>
    <sheetView rightToLeft="1" view="pageBreakPreview" topLeftCell="A2" zoomScale="50" zoomScaleNormal="40" zoomScaleSheetLayoutView="50" workbookViewId="0">
      <selection activeCell="B10" sqref="B10:L10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5" width="11.3984375" style="1" customWidth="1"/>
    <col min="6" max="6" width="11.296875" style="1" customWidth="1"/>
    <col min="7" max="7" width="0" style="1" hidden="1" customWidth="1"/>
    <col min="8" max="8" width="31.3984375" style="1" customWidth="1"/>
    <col min="9" max="9" width="20.59765625" style="1" customWidth="1"/>
    <col min="10" max="10" width="32.09765625" style="1" bestFit="1" customWidth="1"/>
    <col min="11" max="11" width="18.8984375" style="1" customWidth="1"/>
    <col min="12" max="12" width="28.19921875" style="1" bestFit="1" customWidth="1"/>
    <col min="13" max="13" width="24.69921875" style="1" customWidth="1"/>
    <col min="14" max="14" width="30.69921875" style="1" bestFit="1" customWidth="1"/>
    <col min="15" max="15" width="25.09765625" style="1" customWidth="1"/>
    <col min="16" max="18" width="8.796875" style="1"/>
    <col min="19" max="19" width="21.59765625" style="1" bestFit="1" customWidth="1"/>
    <col min="20" max="20" width="8.796875" style="1"/>
    <col min="21" max="21" width="25" style="1" bestFit="1" customWidth="1"/>
    <col min="22" max="16384" width="8.796875" style="1"/>
  </cols>
  <sheetData>
    <row r="1" spans="1:21" ht="37.5" customHeight="1" x14ac:dyDescent="0.25">
      <c r="B1" s="2"/>
      <c r="C1" s="2"/>
      <c r="D1" s="2"/>
      <c r="E1" s="79" t="s">
        <v>72</v>
      </c>
      <c r="F1" s="80"/>
      <c r="G1" s="80"/>
      <c r="H1" s="80"/>
      <c r="I1" s="80"/>
      <c r="J1" s="81"/>
      <c r="K1" s="77"/>
      <c r="L1" s="77"/>
      <c r="M1" s="77"/>
      <c r="N1" s="77"/>
      <c r="O1" s="3"/>
    </row>
    <row r="2" spans="1:21" ht="40.5" customHeight="1" thickBot="1" x14ac:dyDescent="0.45">
      <c r="B2" s="4" t="s">
        <v>1</v>
      </c>
      <c r="E2" s="82"/>
      <c r="F2" s="83"/>
      <c r="G2" s="83"/>
      <c r="H2" s="83"/>
      <c r="I2" s="83"/>
      <c r="J2" s="84"/>
      <c r="K2" s="78" t="s">
        <v>3</v>
      </c>
      <c r="L2" s="78"/>
      <c r="M2" s="78" t="s">
        <v>4</v>
      </c>
      <c r="N2" s="78"/>
      <c r="O2" s="3"/>
    </row>
    <row r="3" spans="1:21" ht="54" customHeight="1" thickBot="1" x14ac:dyDescent="0.3">
      <c r="A3" s="85" t="s">
        <v>74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7"/>
      <c r="O3" s="3"/>
    </row>
    <row r="4" spans="1:21" ht="72.599999999999994" customHeight="1" x14ac:dyDescent="0.25">
      <c r="A4" s="73" t="s">
        <v>6</v>
      </c>
      <c r="B4" s="74" t="s">
        <v>7</v>
      </c>
      <c r="C4" s="74" t="s">
        <v>8</v>
      </c>
      <c r="D4" s="75" t="s">
        <v>9</v>
      </c>
      <c r="E4" s="74" t="s">
        <v>10</v>
      </c>
      <c r="F4" s="74"/>
      <c r="G4" s="74"/>
      <c r="H4" s="74"/>
      <c r="I4" s="70" t="s">
        <v>69</v>
      </c>
      <c r="J4" s="70"/>
      <c r="K4" s="62" t="s">
        <v>70</v>
      </c>
      <c r="L4" s="63"/>
      <c r="M4" s="64" t="s">
        <v>71</v>
      </c>
      <c r="N4" s="65"/>
      <c r="O4" s="7"/>
    </row>
    <row r="5" spans="1:21" ht="69.75" customHeight="1" x14ac:dyDescent="0.25">
      <c r="A5" s="68"/>
      <c r="B5" s="69"/>
      <c r="C5" s="69"/>
      <c r="D5" s="76"/>
      <c r="E5" s="8" t="s">
        <v>14</v>
      </c>
      <c r="F5" s="9" t="s">
        <v>15</v>
      </c>
      <c r="G5" s="9"/>
      <c r="H5" s="9" t="s">
        <v>16</v>
      </c>
      <c r="I5" s="46" t="s">
        <v>14</v>
      </c>
      <c r="J5" s="46" t="s">
        <v>68</v>
      </c>
      <c r="K5" s="46" t="s">
        <v>14</v>
      </c>
      <c r="L5" s="46" t="s">
        <v>68</v>
      </c>
      <c r="M5" s="46" t="s">
        <v>14</v>
      </c>
      <c r="N5" s="47" t="s">
        <v>68</v>
      </c>
      <c r="O5" s="7"/>
    </row>
    <row r="6" spans="1:21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2">
        <v>1</v>
      </c>
      <c r="F6" s="14">
        <v>60</v>
      </c>
      <c r="G6" s="14">
        <f>E6*F6</f>
        <v>60</v>
      </c>
      <c r="H6" s="13">
        <f>E6*F6*D6</f>
        <v>3000000</v>
      </c>
      <c r="I6" s="15"/>
      <c r="J6" s="13">
        <f>I6*D6</f>
        <v>0</v>
      </c>
      <c r="K6" s="13">
        <f>'27_D'!M6+'28'!M6+'29'!M6+'30'!M6+'31'!M6+'32'!M6+'33'!M6+'34'!M6+'35'!M6</f>
        <v>7.5324116743471583</v>
      </c>
      <c r="L6" s="13">
        <f>K6*D6</f>
        <v>376620.58371735789</v>
      </c>
      <c r="M6" s="13"/>
      <c r="N6" s="16"/>
      <c r="O6" s="7"/>
      <c r="S6" s="17"/>
      <c r="U6" s="18"/>
    </row>
    <row r="7" spans="1:21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2">
        <v>1</v>
      </c>
      <c r="F7" s="14">
        <v>60</v>
      </c>
      <c r="G7" s="14">
        <f t="shared" ref="G7:G35" si="0">E7*F7</f>
        <v>60</v>
      </c>
      <c r="H7" s="13">
        <f>E7*F7*D7</f>
        <v>2700000</v>
      </c>
      <c r="I7" s="15"/>
      <c r="J7" s="13">
        <f t="shared" ref="J7:J35" si="1">I7*D7</f>
        <v>0</v>
      </c>
      <c r="K7" s="13">
        <f>'27_D'!M7+'28'!M7+'29'!M7+'30'!M7+'31'!M7+'32'!M7+'33'!M7+'34'!M7+'35'!M7</f>
        <v>0</v>
      </c>
      <c r="L7" s="13">
        <f t="shared" ref="L7:L35" si="2">K7*D7</f>
        <v>0</v>
      </c>
      <c r="M7" s="13"/>
      <c r="N7" s="16"/>
      <c r="O7" s="7"/>
      <c r="S7" s="17"/>
      <c r="U7" s="18"/>
    </row>
    <row r="8" spans="1:21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2">
        <v>2</v>
      </c>
      <c r="F8" s="14">
        <v>60</v>
      </c>
      <c r="G8" s="14">
        <f t="shared" si="0"/>
        <v>120</v>
      </c>
      <c r="H8" s="13">
        <f t="shared" ref="H8:H34" si="3">E8*F8*D8</f>
        <v>2760000</v>
      </c>
      <c r="I8" s="15"/>
      <c r="J8" s="13">
        <f t="shared" si="1"/>
        <v>0</v>
      </c>
      <c r="K8" s="13">
        <f>'27_D'!M8+'28'!M8+'29'!M8+'30'!M8+'31'!M8+'32'!M8+'33'!M8+'34'!M8+'35'!M8</f>
        <v>0</v>
      </c>
      <c r="L8" s="13">
        <f t="shared" si="2"/>
        <v>0</v>
      </c>
      <c r="M8" s="13"/>
      <c r="N8" s="16"/>
      <c r="O8" s="7"/>
      <c r="S8" s="17"/>
      <c r="U8" s="18"/>
    </row>
    <row r="9" spans="1:21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2">
        <v>7</v>
      </c>
      <c r="F9" s="14">
        <v>60</v>
      </c>
      <c r="G9" s="14">
        <f t="shared" si="0"/>
        <v>420</v>
      </c>
      <c r="H9" s="13">
        <f t="shared" si="3"/>
        <v>11760000</v>
      </c>
      <c r="I9" s="15"/>
      <c r="J9" s="13">
        <f t="shared" si="1"/>
        <v>0</v>
      </c>
      <c r="K9" s="13">
        <f>'27_D'!M9+'28'!M9+'29'!M9+'30'!M9+'31'!M9+'32'!M9+'33'!M9+'34'!M9+'35'!M9</f>
        <v>251.84562211981566</v>
      </c>
      <c r="L9" s="13">
        <f t="shared" si="2"/>
        <v>7051677.4193548383</v>
      </c>
      <c r="M9" s="13"/>
      <c r="N9" s="16"/>
      <c r="O9" s="7"/>
      <c r="S9" s="17"/>
      <c r="U9" s="18"/>
    </row>
    <row r="10" spans="1:21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2">
        <v>3</v>
      </c>
      <c r="F10" s="14">
        <v>60</v>
      </c>
      <c r="G10" s="14">
        <f t="shared" si="0"/>
        <v>180</v>
      </c>
      <c r="H10" s="13">
        <f t="shared" si="3"/>
        <v>3420000</v>
      </c>
      <c r="I10" s="15"/>
      <c r="J10" s="13">
        <f t="shared" si="1"/>
        <v>0</v>
      </c>
      <c r="K10" s="13">
        <f>'27_D'!M10+'28'!M10+'29'!M10+'30'!M10+'31'!M10+'32'!M10+'33'!M10+'34'!M10+'35'!M10</f>
        <v>19.677572964669739</v>
      </c>
      <c r="L10" s="13">
        <f t="shared" si="2"/>
        <v>373873.88632872503</v>
      </c>
      <c r="M10" s="13"/>
      <c r="N10" s="16"/>
      <c r="O10" s="7"/>
      <c r="S10" s="17"/>
      <c r="U10" s="18"/>
    </row>
    <row r="11" spans="1:21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2">
        <v>15</v>
      </c>
      <c r="F11" s="14">
        <v>60</v>
      </c>
      <c r="G11" s="14">
        <f t="shared" si="0"/>
        <v>900</v>
      </c>
      <c r="H11" s="13">
        <f t="shared" si="3"/>
        <v>18900000</v>
      </c>
      <c r="I11" s="15"/>
      <c r="J11" s="13">
        <f t="shared" si="1"/>
        <v>0</v>
      </c>
      <c r="K11" s="13">
        <f>'27_D'!M11+'28'!M11+'29'!M11+'30'!M11+'31'!M11+'32'!M11+'33'!M11+'34'!M11+'35'!M11</f>
        <v>490.76167434715825</v>
      </c>
      <c r="L11" s="13">
        <f t="shared" si="2"/>
        <v>10305995.161290323</v>
      </c>
      <c r="M11" s="13"/>
      <c r="N11" s="16"/>
      <c r="O11" s="7"/>
      <c r="S11" s="17"/>
      <c r="U11" s="18"/>
    </row>
    <row r="12" spans="1:21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2">
        <v>2</v>
      </c>
      <c r="F12" s="14">
        <v>60</v>
      </c>
      <c r="G12" s="14">
        <f t="shared" si="0"/>
        <v>120</v>
      </c>
      <c r="H12" s="13">
        <f t="shared" si="3"/>
        <v>2280000</v>
      </c>
      <c r="I12" s="15"/>
      <c r="J12" s="13">
        <f t="shared" si="1"/>
        <v>0</v>
      </c>
      <c r="K12" s="13">
        <f>'27_D'!M12+'28'!M12+'29'!M12+'30'!M12+'31'!M12+'32'!M12+'33'!M12+'34'!M12+'35'!M12</f>
        <v>9</v>
      </c>
      <c r="L12" s="13">
        <f t="shared" si="2"/>
        <v>171000</v>
      </c>
      <c r="M12" s="13"/>
      <c r="N12" s="16"/>
      <c r="O12" s="7"/>
      <c r="S12" s="17"/>
      <c r="U12" s="18"/>
    </row>
    <row r="13" spans="1:21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2">
        <v>6</v>
      </c>
      <c r="F13" s="14">
        <v>60</v>
      </c>
      <c r="G13" s="14">
        <f t="shared" si="0"/>
        <v>360</v>
      </c>
      <c r="H13" s="13">
        <f t="shared" si="3"/>
        <v>7560000</v>
      </c>
      <c r="I13" s="15"/>
      <c r="J13" s="13">
        <f t="shared" si="1"/>
        <v>0</v>
      </c>
      <c r="K13" s="13">
        <f>'27_D'!M13+'28'!M13+'29'!M13+'30'!M13+'31'!M13+'32'!M13+'33'!M13+'34'!M13+'35'!M13</f>
        <v>116.04370199692779</v>
      </c>
      <c r="L13" s="13">
        <f t="shared" si="2"/>
        <v>2436917.7419354836</v>
      </c>
      <c r="M13" s="13"/>
      <c r="N13" s="16"/>
      <c r="O13" s="7"/>
      <c r="S13" s="17"/>
      <c r="U13" s="18"/>
    </row>
    <row r="14" spans="1:21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1">
        <v>2</v>
      </c>
      <c r="F14" s="23">
        <v>60</v>
      </c>
      <c r="G14" s="23">
        <f t="shared" si="0"/>
        <v>120</v>
      </c>
      <c r="H14" s="22">
        <f t="shared" si="3"/>
        <v>2280000</v>
      </c>
      <c r="I14" s="24"/>
      <c r="J14" s="13">
        <f t="shared" si="1"/>
        <v>0</v>
      </c>
      <c r="K14" s="13">
        <f>'27_D'!M14+'28'!M14+'29'!M14+'30'!M14+'31'!M14+'32'!M14+'33'!M14+'34'!M14+'35'!M14</f>
        <v>8.4838709677419359</v>
      </c>
      <c r="L14" s="13">
        <f t="shared" si="2"/>
        <v>161193.54838709679</v>
      </c>
      <c r="M14" s="22"/>
      <c r="N14" s="16"/>
      <c r="O14" s="7"/>
      <c r="S14" s="17"/>
      <c r="U14" s="18"/>
    </row>
    <row r="15" spans="1:21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1">
        <v>5</v>
      </c>
      <c r="F15" s="23">
        <v>60</v>
      </c>
      <c r="G15" s="23">
        <f t="shared" si="0"/>
        <v>300</v>
      </c>
      <c r="H15" s="22">
        <f t="shared" si="3"/>
        <v>6300000</v>
      </c>
      <c r="I15" s="24"/>
      <c r="J15" s="13">
        <f t="shared" si="1"/>
        <v>0</v>
      </c>
      <c r="K15" s="13">
        <f>'27_D'!M15+'28'!M15+'29'!M15+'30'!M15+'31'!M15+'32'!M15+'33'!M15+'34'!M15+'35'!M15</f>
        <v>132.14639016897081</v>
      </c>
      <c r="L15" s="13">
        <f t="shared" si="2"/>
        <v>2775074.1935483869</v>
      </c>
      <c r="M15" s="22"/>
      <c r="N15" s="16"/>
      <c r="O15" s="7"/>
      <c r="S15" s="17"/>
      <c r="U15" s="17"/>
    </row>
    <row r="16" spans="1:21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2">
        <v>2</v>
      </c>
      <c r="F16" s="14">
        <v>60</v>
      </c>
      <c r="G16" s="14">
        <f t="shared" si="0"/>
        <v>120</v>
      </c>
      <c r="H16" s="13">
        <f t="shared" si="3"/>
        <v>2160000</v>
      </c>
      <c r="I16" s="15"/>
      <c r="J16" s="13">
        <f t="shared" si="1"/>
        <v>0</v>
      </c>
      <c r="K16" s="13">
        <f>'27_D'!M16+'28'!M16+'29'!M16+'30'!M16+'31'!M16+'32'!M16+'33'!M16+'34'!M16+'35'!M16</f>
        <v>26.166666666666664</v>
      </c>
      <c r="L16" s="13">
        <f t="shared" si="2"/>
        <v>470999.99999999994</v>
      </c>
      <c r="M16" s="13"/>
      <c r="N16" s="16"/>
      <c r="O16" s="7"/>
      <c r="S16" s="17"/>
      <c r="U16" s="18"/>
    </row>
    <row r="17" spans="1:21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2">
        <v>5</v>
      </c>
      <c r="F17" s="14">
        <v>60</v>
      </c>
      <c r="G17" s="14">
        <f t="shared" si="0"/>
        <v>300</v>
      </c>
      <c r="H17" s="13">
        <f t="shared" si="3"/>
        <v>6300000</v>
      </c>
      <c r="I17" s="15"/>
      <c r="J17" s="13">
        <f t="shared" si="1"/>
        <v>0</v>
      </c>
      <c r="K17" s="13">
        <f>'27_D'!M17+'28'!M17+'29'!M17+'30'!M17+'31'!M17+'32'!M17+'33'!M17+'34'!M17+'35'!M17</f>
        <v>88.427265745007688</v>
      </c>
      <c r="L17" s="13">
        <f t="shared" si="2"/>
        <v>1856972.5806451614</v>
      </c>
      <c r="M17" s="13"/>
      <c r="N17" s="16"/>
      <c r="O17" s="7"/>
      <c r="S17" s="17"/>
      <c r="U17" s="18"/>
    </row>
    <row r="18" spans="1:21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2">
        <v>1</v>
      </c>
      <c r="F18" s="14">
        <v>60</v>
      </c>
      <c r="G18" s="14">
        <f t="shared" si="0"/>
        <v>60</v>
      </c>
      <c r="H18" s="13">
        <f t="shared" si="3"/>
        <v>2520000</v>
      </c>
      <c r="I18" s="15"/>
      <c r="J18" s="13">
        <f t="shared" si="1"/>
        <v>0</v>
      </c>
      <c r="K18" s="13">
        <f>'27_D'!M18+'28'!M18+'29'!M18+'30'!M18+'31'!M18+'32'!M18+'33'!M18+'34'!M18+'35'!M18</f>
        <v>0</v>
      </c>
      <c r="L18" s="13">
        <f t="shared" si="2"/>
        <v>0</v>
      </c>
      <c r="M18" s="13"/>
      <c r="N18" s="16"/>
      <c r="O18" s="7"/>
      <c r="S18" s="17"/>
      <c r="U18" s="18"/>
    </row>
    <row r="19" spans="1:21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1">
        <v>1</v>
      </c>
      <c r="F19" s="23">
        <v>60</v>
      </c>
      <c r="G19" s="23">
        <f t="shared" si="0"/>
        <v>60</v>
      </c>
      <c r="H19" s="22">
        <f t="shared" si="3"/>
        <v>1260000</v>
      </c>
      <c r="I19" s="24"/>
      <c r="J19" s="13">
        <f t="shared" si="1"/>
        <v>0</v>
      </c>
      <c r="K19" s="13">
        <f>'27_D'!M19+'28'!M19+'29'!M19+'30'!M19+'31'!M19+'32'!M19+'33'!M19+'34'!M19+'35'!M19</f>
        <v>0</v>
      </c>
      <c r="L19" s="13">
        <f t="shared" si="2"/>
        <v>0</v>
      </c>
      <c r="M19" s="22"/>
      <c r="N19" s="16"/>
      <c r="O19" s="7"/>
      <c r="S19" s="17"/>
      <c r="U19" s="18"/>
    </row>
    <row r="20" spans="1:21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2">
        <v>2</v>
      </c>
      <c r="F20" s="14">
        <v>60</v>
      </c>
      <c r="G20" s="14">
        <f t="shared" si="0"/>
        <v>120</v>
      </c>
      <c r="H20" s="13">
        <f t="shared" si="3"/>
        <v>3120000</v>
      </c>
      <c r="I20" s="15"/>
      <c r="J20" s="13">
        <f t="shared" si="1"/>
        <v>0</v>
      </c>
      <c r="K20" s="13">
        <f>'27_D'!M20+'28'!M20+'29'!M20+'30'!M20+'31'!M20+'32'!M20+'33'!M20+'34'!M20+'35'!M20</f>
        <v>47.912903225806453</v>
      </c>
      <c r="L20" s="13">
        <f t="shared" si="2"/>
        <v>1245735.4838709678</v>
      </c>
      <c r="M20" s="13"/>
      <c r="N20" s="16"/>
      <c r="O20" s="7"/>
      <c r="S20" s="17"/>
      <c r="U20" s="18"/>
    </row>
    <row r="21" spans="1:21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2">
        <v>1</v>
      </c>
      <c r="F21" s="14">
        <v>60</v>
      </c>
      <c r="G21" s="14">
        <f t="shared" si="0"/>
        <v>60</v>
      </c>
      <c r="H21" s="13">
        <f t="shared" si="3"/>
        <v>1140000</v>
      </c>
      <c r="I21" s="15"/>
      <c r="J21" s="13">
        <f t="shared" si="1"/>
        <v>0</v>
      </c>
      <c r="K21" s="13">
        <f>'27_D'!M21+'28'!M21+'29'!M21+'30'!M21+'31'!M21+'32'!M21+'33'!M21+'34'!M21+'35'!M21</f>
        <v>17.899999999999999</v>
      </c>
      <c r="L21" s="13">
        <f t="shared" si="2"/>
        <v>340100</v>
      </c>
      <c r="M21" s="13"/>
      <c r="N21" s="16"/>
      <c r="O21" s="7"/>
      <c r="U21" s="17"/>
    </row>
    <row r="22" spans="1:21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2">
        <v>1</v>
      </c>
      <c r="F22" s="14">
        <v>60</v>
      </c>
      <c r="G22" s="14">
        <f t="shared" si="0"/>
        <v>60</v>
      </c>
      <c r="H22" s="13">
        <f t="shared" si="3"/>
        <v>1260000</v>
      </c>
      <c r="I22" s="15"/>
      <c r="J22" s="13">
        <f t="shared" si="1"/>
        <v>0</v>
      </c>
      <c r="K22" s="13">
        <f>'27_D'!M22+'28'!M22+'29'!M22+'30'!M22+'31'!M22+'32'!M22+'33'!M22+'34'!M22+'35'!M22</f>
        <v>15.503225806451614</v>
      </c>
      <c r="L22" s="13">
        <f t="shared" si="2"/>
        <v>325567.74193548388</v>
      </c>
      <c r="M22" s="13"/>
      <c r="N22" s="16"/>
      <c r="O22" s="7"/>
    </row>
    <row r="23" spans="1:21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2">
        <v>1</v>
      </c>
      <c r="F23" s="14">
        <v>60</v>
      </c>
      <c r="G23" s="14">
        <f t="shared" si="0"/>
        <v>60</v>
      </c>
      <c r="H23" s="13">
        <f t="shared" si="3"/>
        <v>2400000</v>
      </c>
      <c r="I23" s="15"/>
      <c r="J23" s="13">
        <f t="shared" si="1"/>
        <v>0</v>
      </c>
      <c r="K23" s="13">
        <f>'27_D'!M23+'28'!M23+'29'!M23+'30'!M23+'31'!M23+'32'!M23+'33'!M23+'34'!M23+'35'!M23</f>
        <v>0</v>
      </c>
      <c r="L23" s="13">
        <f t="shared" si="2"/>
        <v>0</v>
      </c>
      <c r="M23" s="13"/>
      <c r="N23" s="16"/>
      <c r="O23" s="7"/>
    </row>
    <row r="24" spans="1:21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2">
        <v>1</v>
      </c>
      <c r="F24" s="14">
        <v>60</v>
      </c>
      <c r="G24" s="14">
        <f t="shared" si="0"/>
        <v>60</v>
      </c>
      <c r="H24" s="13">
        <f t="shared" si="3"/>
        <v>1260000</v>
      </c>
      <c r="I24" s="15"/>
      <c r="J24" s="13">
        <f t="shared" si="1"/>
        <v>0</v>
      </c>
      <c r="K24" s="13">
        <f>'27_D'!M24+'28'!M24+'29'!M24+'30'!M24+'31'!M24+'32'!M24+'33'!M24+'34'!M24+'35'!M24</f>
        <v>0</v>
      </c>
      <c r="L24" s="13">
        <f t="shared" si="2"/>
        <v>0</v>
      </c>
      <c r="M24" s="13"/>
      <c r="N24" s="16"/>
      <c r="O24" s="7"/>
    </row>
    <row r="25" spans="1:21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2">
        <v>1</v>
      </c>
      <c r="F25" s="14">
        <v>60</v>
      </c>
      <c r="G25" s="14">
        <f t="shared" si="0"/>
        <v>60</v>
      </c>
      <c r="H25" s="13">
        <f t="shared" si="3"/>
        <v>1380000</v>
      </c>
      <c r="I25" s="15"/>
      <c r="J25" s="13">
        <f t="shared" si="1"/>
        <v>0</v>
      </c>
      <c r="K25" s="13">
        <f>'27_D'!M25+'28'!M25+'29'!M25+'30'!M25+'31'!M25+'32'!M25+'33'!M25+'34'!M25+'35'!M25</f>
        <v>0</v>
      </c>
      <c r="L25" s="13">
        <f t="shared" si="2"/>
        <v>0</v>
      </c>
      <c r="M25" s="13"/>
      <c r="N25" s="16"/>
      <c r="O25" s="7"/>
    </row>
    <row r="26" spans="1:21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2">
        <v>1</v>
      </c>
      <c r="F26" s="14">
        <v>60</v>
      </c>
      <c r="G26" s="14"/>
      <c r="H26" s="13">
        <f t="shared" si="3"/>
        <v>900000</v>
      </c>
      <c r="I26" s="15"/>
      <c r="J26" s="13">
        <f t="shared" si="1"/>
        <v>0</v>
      </c>
      <c r="K26" s="13">
        <f>'27_D'!M26+'28'!M26+'29'!M26+'30'!M26+'31'!M26+'32'!M26+'33'!M26+'34'!M26+'35'!M26</f>
        <v>57.47304147465438</v>
      </c>
      <c r="L26" s="13">
        <f t="shared" si="2"/>
        <v>862095.62211981567</v>
      </c>
      <c r="M26" s="13"/>
      <c r="N26" s="16"/>
      <c r="O26" s="7"/>
    </row>
    <row r="27" spans="1:21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2">
        <v>2</v>
      </c>
      <c r="F27" s="14">
        <v>60</v>
      </c>
      <c r="G27" s="14"/>
      <c r="H27" s="13">
        <f t="shared" si="3"/>
        <v>2040000</v>
      </c>
      <c r="I27" s="15"/>
      <c r="J27" s="13">
        <f t="shared" si="1"/>
        <v>0</v>
      </c>
      <c r="K27" s="13">
        <f>'27_D'!M27+'28'!M27+'29'!M27+'30'!M27+'31'!M27+'32'!M27+'33'!M27+'34'!M27+'35'!M27</f>
        <v>204.29009216589861</v>
      </c>
      <c r="L27" s="13">
        <f t="shared" si="2"/>
        <v>3472931.5668202764</v>
      </c>
      <c r="M27" s="13"/>
      <c r="N27" s="16"/>
      <c r="O27" s="7"/>
    </row>
    <row r="28" spans="1:21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2">
        <v>7</v>
      </c>
      <c r="F28" s="14">
        <v>60</v>
      </c>
      <c r="G28" s="14"/>
      <c r="H28" s="13">
        <f t="shared" si="3"/>
        <v>5040000</v>
      </c>
      <c r="I28" s="15"/>
      <c r="J28" s="13">
        <f t="shared" si="1"/>
        <v>0</v>
      </c>
      <c r="K28" s="13">
        <f>'27_D'!M28+'28'!M28+'29'!M28+'30'!M28+'31'!M28+'32'!M28+'33'!M28+'34'!M28+'35'!M28</f>
        <v>166.37380952380954</v>
      </c>
      <c r="L28" s="13">
        <f t="shared" si="2"/>
        <v>1996485.7142857146</v>
      </c>
      <c r="M28" s="13"/>
      <c r="N28" s="16"/>
      <c r="O28" s="7"/>
    </row>
    <row r="29" spans="1:21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2">
        <v>25</v>
      </c>
      <c r="F29" s="14">
        <v>60</v>
      </c>
      <c r="G29" s="14">
        <f t="shared" si="0"/>
        <v>1500</v>
      </c>
      <c r="H29" s="13">
        <f t="shared" si="3"/>
        <v>18000000</v>
      </c>
      <c r="I29" s="15"/>
      <c r="J29" s="13">
        <f t="shared" si="1"/>
        <v>0</v>
      </c>
      <c r="K29" s="13">
        <f>'27_D'!M29+'28'!M29+'29'!M29+'30'!M29+'31'!M29+'32'!M29+'33'!M29+'34'!M29+'35'!M29</f>
        <v>816.69139784946242</v>
      </c>
      <c r="L29" s="13">
        <f t="shared" si="2"/>
        <v>9800296.7741935495</v>
      </c>
      <c r="M29" s="13"/>
      <c r="N29" s="16"/>
      <c r="O29" s="7"/>
    </row>
    <row r="30" spans="1:21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2">
        <v>2</v>
      </c>
      <c r="F30" s="14">
        <v>60</v>
      </c>
      <c r="G30" s="14"/>
      <c r="H30" s="13">
        <f t="shared" si="3"/>
        <v>1320000</v>
      </c>
      <c r="I30" s="15"/>
      <c r="J30" s="13">
        <f t="shared" si="1"/>
        <v>0</v>
      </c>
      <c r="K30" s="13">
        <f>'27_D'!M30+'28'!M30+'29'!M30+'30'!M30+'31'!M30+'32'!M30+'33'!M30+'34'!M30+'35'!M30</f>
        <v>29.472811059907833</v>
      </c>
      <c r="L30" s="13">
        <f t="shared" si="2"/>
        <v>324200.92165898619</v>
      </c>
      <c r="M30" s="13"/>
      <c r="N30" s="16"/>
      <c r="O30" s="7"/>
    </row>
    <row r="31" spans="1:21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2">
        <v>7</v>
      </c>
      <c r="F31" s="14">
        <v>60</v>
      </c>
      <c r="G31" s="14"/>
      <c r="H31" s="13">
        <f t="shared" si="3"/>
        <v>5460000</v>
      </c>
      <c r="I31" s="15"/>
      <c r="J31" s="13">
        <f t="shared" si="1"/>
        <v>0</v>
      </c>
      <c r="K31" s="13">
        <f>'27_D'!M31+'28'!M31+'29'!M31+'30'!M31+'31'!M31+'32'!M31+'33'!M31+'34'!M31+'35'!M31</f>
        <v>714.29147465437791</v>
      </c>
      <c r="L31" s="13">
        <f t="shared" si="2"/>
        <v>9285789.1705069132</v>
      </c>
      <c r="M31" s="13"/>
      <c r="N31" s="16"/>
      <c r="O31" s="7"/>
    </row>
    <row r="32" spans="1:21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2">
        <v>2</v>
      </c>
      <c r="F32" s="14">
        <v>60</v>
      </c>
      <c r="G32" s="14"/>
      <c r="H32" s="13">
        <f t="shared" si="3"/>
        <v>1320000</v>
      </c>
      <c r="I32" s="15"/>
      <c r="J32" s="13">
        <f t="shared" si="1"/>
        <v>0</v>
      </c>
      <c r="K32" s="13">
        <f>'27_D'!M32+'28'!M32+'29'!M32+'30'!M32+'31'!M32+'32'!M32+'33'!M32+'34'!M32+'35'!M32</f>
        <v>230.82542242703533</v>
      </c>
      <c r="L32" s="13">
        <f t="shared" si="2"/>
        <v>2539079.6466973885</v>
      </c>
      <c r="M32" s="13"/>
      <c r="N32" s="16"/>
      <c r="O32" s="7"/>
    </row>
    <row r="33" spans="1:15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2">
        <v>8</v>
      </c>
      <c r="F33" s="14">
        <v>60</v>
      </c>
      <c r="G33" s="14"/>
      <c r="H33" s="13">
        <f t="shared" si="3"/>
        <v>5760000</v>
      </c>
      <c r="I33" s="15"/>
      <c r="J33" s="13">
        <f t="shared" si="1"/>
        <v>0</v>
      </c>
      <c r="K33" s="13">
        <f>'27_D'!M33+'28'!M33+'29'!M33+'30'!M33+'31'!M33+'32'!M33+'33'!M33+'34'!M33+'35'!M33</f>
        <v>297.16559139784943</v>
      </c>
      <c r="L33" s="13">
        <f t="shared" si="2"/>
        <v>3565987.096774193</v>
      </c>
      <c r="M33" s="13"/>
      <c r="N33" s="16"/>
      <c r="O33" s="7"/>
    </row>
    <row r="34" spans="1:15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2">
        <v>1</v>
      </c>
      <c r="F34" s="14">
        <v>60</v>
      </c>
      <c r="G34" s="14">
        <f t="shared" si="0"/>
        <v>60</v>
      </c>
      <c r="H34" s="13">
        <f t="shared" si="3"/>
        <v>600000</v>
      </c>
      <c r="I34" s="15"/>
      <c r="J34" s="13">
        <f t="shared" si="1"/>
        <v>0</v>
      </c>
      <c r="K34" s="13">
        <f>'27_D'!M34+'28'!M34+'29'!M34+'30'!M34+'31'!M34+'32'!M34+'33'!M34+'34'!M34+'35'!M34</f>
        <v>191.331490015361</v>
      </c>
      <c r="L34" s="13">
        <f t="shared" si="2"/>
        <v>1913314.9001536099</v>
      </c>
      <c r="M34" s="13"/>
      <c r="N34" s="16"/>
      <c r="O34" s="7"/>
    </row>
    <row r="35" spans="1:15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7">
        <v>3</v>
      </c>
      <c r="F35" s="29">
        <v>60</v>
      </c>
      <c r="G35" s="29">
        <f t="shared" si="0"/>
        <v>180</v>
      </c>
      <c r="H35" s="28">
        <f>E35*F35*D35</f>
        <v>1800000</v>
      </c>
      <c r="I35" s="30"/>
      <c r="J35" s="13">
        <f t="shared" si="1"/>
        <v>0</v>
      </c>
      <c r="K35" s="13">
        <f>'27_D'!M35+'28'!M35+'29'!M35+'30'!M35+'31'!M35+'32'!M35+'33'!M35+'34'!M35+'35'!M35</f>
        <v>119.85353302611368</v>
      </c>
      <c r="L35" s="13">
        <f t="shared" si="2"/>
        <v>1198535.3302611369</v>
      </c>
      <c r="M35" s="28"/>
      <c r="N35" s="31"/>
      <c r="O35" s="7"/>
    </row>
    <row r="36" spans="1:15" ht="35.4" x14ac:dyDescent="0.25">
      <c r="A36" s="66" t="s">
        <v>54</v>
      </c>
      <c r="B36" s="67"/>
      <c r="C36" s="67"/>
      <c r="D36" s="67"/>
      <c r="E36" s="32">
        <f>SUM(E6:E35)</f>
        <v>118</v>
      </c>
      <c r="F36" s="33"/>
      <c r="G36" s="33">
        <f>SUM(G6:G35)</f>
        <v>5340</v>
      </c>
      <c r="H36" s="34">
        <f>SUM(H6:H35)</f>
        <v>126000000</v>
      </c>
      <c r="I36" s="34"/>
      <c r="J36" s="35">
        <f>SUM(J6:J35)</f>
        <v>0</v>
      </c>
      <c r="K36" s="34"/>
      <c r="L36" s="34">
        <f>SUM(L6:L35)</f>
        <v>62850445.084485404</v>
      </c>
      <c r="M36" s="34"/>
      <c r="N36" s="36">
        <f>SUM(N6:N35)</f>
        <v>0</v>
      </c>
      <c r="O36" s="37"/>
    </row>
    <row r="37" spans="1:15" ht="35.4" x14ac:dyDescent="0.25">
      <c r="A37" s="68" t="s">
        <v>55</v>
      </c>
      <c r="B37" s="69"/>
      <c r="C37" s="69"/>
      <c r="D37" s="69"/>
      <c r="E37" s="69"/>
      <c r="F37" s="69"/>
      <c r="G37" s="69"/>
      <c r="H37" s="38">
        <f>H36*0.15</f>
        <v>18900000</v>
      </c>
      <c r="I37" s="39"/>
      <c r="J37" s="40">
        <f>J36*0.15</f>
        <v>0</v>
      </c>
      <c r="K37" s="40"/>
      <c r="L37" s="40">
        <f>L36*0.15</f>
        <v>9427566.7626728099</v>
      </c>
      <c r="M37" s="40"/>
      <c r="N37" s="41">
        <f>N36*0.15</f>
        <v>0</v>
      </c>
      <c r="O37" s="37"/>
    </row>
    <row r="38" spans="1:15" ht="35.4" x14ac:dyDescent="0.25">
      <c r="A38" s="68" t="s">
        <v>56</v>
      </c>
      <c r="B38" s="69"/>
      <c r="C38" s="69"/>
      <c r="D38" s="69"/>
      <c r="E38" s="69"/>
      <c r="F38" s="69"/>
      <c r="G38" s="69"/>
      <c r="H38" s="38">
        <f>H36+H37</f>
        <v>144900000</v>
      </c>
      <c r="I38" s="38"/>
      <c r="J38" s="38">
        <f>J36+J37</f>
        <v>0</v>
      </c>
      <c r="K38" s="40"/>
      <c r="L38" s="40">
        <f>L36+L37</f>
        <v>72278011.847158208</v>
      </c>
      <c r="M38" s="40"/>
      <c r="N38" s="41">
        <f>N36+N37</f>
        <v>0</v>
      </c>
      <c r="O38" s="37"/>
    </row>
    <row r="39" spans="1:15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42"/>
      <c r="I39" s="43"/>
      <c r="J39" s="44">
        <f>J36/H36</f>
        <v>0</v>
      </c>
      <c r="K39" s="43"/>
      <c r="L39" s="44">
        <v>0.23952879231692664</v>
      </c>
      <c r="M39" s="43"/>
      <c r="N39" s="45">
        <f>N36/H36</f>
        <v>0</v>
      </c>
      <c r="O39" s="7"/>
    </row>
  </sheetData>
  <mergeCells count="17">
    <mergeCell ref="K1:N1"/>
    <mergeCell ref="K2:L2"/>
    <mergeCell ref="M2:N2"/>
    <mergeCell ref="E1:J2"/>
    <mergeCell ref="A3:N3"/>
    <mergeCell ref="A39:G39"/>
    <mergeCell ref="A4:A5"/>
    <mergeCell ref="B4:B5"/>
    <mergeCell ref="C4:C5"/>
    <mergeCell ref="D4:D5"/>
    <mergeCell ref="E4:H4"/>
    <mergeCell ref="K4:L4"/>
    <mergeCell ref="M4:N4"/>
    <mergeCell ref="A36:D36"/>
    <mergeCell ref="A37:G37"/>
    <mergeCell ref="A38:G38"/>
    <mergeCell ref="I4:J4"/>
  </mergeCells>
  <printOptions horizontalCentered="1"/>
  <pageMargins left="0.7" right="0.7" top="0.75" bottom="0.75" header="0.3" footer="0.3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BF2C-5706-4EC7-A531-C8E255D97A8F}">
  <sheetPr>
    <pageSetUpPr fitToPage="1"/>
  </sheetPr>
  <dimension ref="A1:Y39"/>
  <sheetViews>
    <sheetView rightToLeft="1" tabSelected="1" view="pageBreakPreview" topLeftCell="A6" zoomScale="50" zoomScaleNormal="40" zoomScaleSheetLayoutView="50" workbookViewId="0">
      <selection activeCell="M10" sqref="M10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6" width="8.5" style="1" bestFit="1" customWidth="1"/>
    <col min="7" max="7" width="12.5" style="1" bestFit="1" customWidth="1"/>
    <col min="8" max="8" width="20.0976562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2"/>
      <c r="F1" s="2"/>
      <c r="G1" s="2"/>
      <c r="H1" s="2"/>
      <c r="I1" s="96" t="s">
        <v>67</v>
      </c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I2" s="96" t="s">
        <v>82</v>
      </c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35.4" x14ac:dyDescent="0.25">
      <c r="A4" s="66" t="s">
        <v>6</v>
      </c>
      <c r="B4" s="67" t="s">
        <v>7</v>
      </c>
      <c r="C4" s="67" t="s">
        <v>8</v>
      </c>
      <c r="D4" s="89" t="s">
        <v>9</v>
      </c>
      <c r="E4" s="90" t="s">
        <v>10</v>
      </c>
      <c r="F4" s="91"/>
      <c r="G4" s="91"/>
      <c r="H4" s="92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8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9">
        <v>1.5</v>
      </c>
      <c r="J6" s="14">
        <v>52.86</v>
      </c>
      <c r="K6" s="14">
        <v>79.289999999999992</v>
      </c>
      <c r="L6" s="13">
        <v>3964499.9999999995</v>
      </c>
      <c r="M6" s="15">
        <v>1</v>
      </c>
      <c r="N6" s="13">
        <f>D6*M6</f>
        <v>50000</v>
      </c>
      <c r="O6" s="13">
        <v>43.331336405529953</v>
      </c>
      <c r="P6" s="13">
        <v>2166566.8202764979</v>
      </c>
      <c r="Q6" s="13">
        <f>M6+O6</f>
        <v>44.331336405529953</v>
      </c>
      <c r="R6" s="16">
        <f>P6+N6</f>
        <v>2216566.8202764979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9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9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9">
        <v>23</v>
      </c>
      <c r="J9" s="14">
        <v>52.86</v>
      </c>
      <c r="K9" s="14">
        <v>1215.78</v>
      </c>
      <c r="L9" s="13">
        <v>34041840</v>
      </c>
      <c r="M9" s="15">
        <v>26.806451612903224</v>
      </c>
      <c r="N9" s="13">
        <f t="shared" si="0"/>
        <v>750580.6451612903</v>
      </c>
      <c r="O9" s="13">
        <v>817.63722516333053</v>
      </c>
      <c r="P9" s="13">
        <v>22893842.304573257</v>
      </c>
      <c r="Q9" s="13">
        <f t="shared" si="1"/>
        <v>844.4436767762337</v>
      </c>
      <c r="R9" s="16">
        <f t="shared" si="2"/>
        <v>23644422.949734546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9">
        <v>4</v>
      </c>
      <c r="J10" s="14">
        <v>52.86</v>
      </c>
      <c r="K10" s="14">
        <v>211.44</v>
      </c>
      <c r="L10" s="13">
        <v>4017360</v>
      </c>
      <c r="M10" s="15">
        <v>0</v>
      </c>
      <c r="N10" s="13">
        <f t="shared" si="0"/>
        <v>0</v>
      </c>
      <c r="O10" s="13">
        <v>56.591655760368667</v>
      </c>
      <c r="P10" s="13">
        <v>1075241.4594470046</v>
      </c>
      <c r="Q10" s="13">
        <f t="shared" si="1"/>
        <v>56.591655760368667</v>
      </c>
      <c r="R10" s="16">
        <f t="shared" si="2"/>
        <v>1075241.4594470046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9">
        <v>47</v>
      </c>
      <c r="J11" s="14">
        <v>52.86</v>
      </c>
      <c r="K11" s="14">
        <v>2484.42</v>
      </c>
      <c r="L11" s="13">
        <v>52172820</v>
      </c>
      <c r="M11" s="15">
        <v>56.935483870967744</v>
      </c>
      <c r="N11" s="13">
        <f t="shared" si="0"/>
        <v>1195645.1612903227</v>
      </c>
      <c r="O11" s="13">
        <v>1539.2201188597908</v>
      </c>
      <c r="P11" s="13">
        <v>32323622.496055607</v>
      </c>
      <c r="Q11" s="13">
        <f t="shared" si="1"/>
        <v>1596.1556027307586</v>
      </c>
      <c r="R11" s="16">
        <f t="shared" si="2"/>
        <v>33519267.657345928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9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34.146633333333334</v>
      </c>
      <c r="P12" s="13">
        <v>648786.03333333333</v>
      </c>
      <c r="Q12" s="13">
        <f t="shared" si="1"/>
        <v>35.146633333333334</v>
      </c>
      <c r="R12" s="16">
        <f t="shared" si="2"/>
        <v>667786.03333333333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9">
        <v>15</v>
      </c>
      <c r="J13" s="14">
        <v>52.86</v>
      </c>
      <c r="K13" s="14">
        <v>792.9</v>
      </c>
      <c r="L13" s="13">
        <v>16650900</v>
      </c>
      <c r="M13" s="15">
        <v>13.580645161290322</v>
      </c>
      <c r="N13" s="13">
        <f t="shared" si="0"/>
        <v>285193.54838709679</v>
      </c>
      <c r="O13" s="13">
        <v>375.92473473224209</v>
      </c>
      <c r="P13" s="13">
        <v>7894419.4293770827</v>
      </c>
      <c r="Q13" s="13">
        <f t="shared" si="1"/>
        <v>389.50537989353239</v>
      </c>
      <c r="R13" s="16">
        <f t="shared" si="2"/>
        <v>8179612.9777641799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60">
        <v>3</v>
      </c>
      <c r="J14" s="23">
        <v>52.86</v>
      </c>
      <c r="K14" s="23">
        <v>158.57999999999998</v>
      </c>
      <c r="L14" s="22">
        <v>3013019.9999999995</v>
      </c>
      <c r="M14" s="24">
        <v>0.80645161290322576</v>
      </c>
      <c r="N14" s="22">
        <f t="shared" si="0"/>
        <v>15322.58064516129</v>
      </c>
      <c r="O14" s="22">
        <v>28.511720430107527</v>
      </c>
      <c r="P14" s="13">
        <v>541722.68817204295</v>
      </c>
      <c r="Q14" s="22">
        <f t="shared" si="1"/>
        <v>29.318172043010751</v>
      </c>
      <c r="R14" s="16">
        <f t="shared" si="2"/>
        <v>557045.26881720428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60">
        <v>14</v>
      </c>
      <c r="J15" s="23">
        <v>52.86</v>
      </c>
      <c r="K15" s="23">
        <v>740.04</v>
      </c>
      <c r="L15" s="22">
        <v>15540840</v>
      </c>
      <c r="M15" s="24">
        <v>15</v>
      </c>
      <c r="N15" s="22">
        <f t="shared" si="0"/>
        <v>315000</v>
      </c>
      <c r="O15" s="22">
        <v>338.84738289400917</v>
      </c>
      <c r="P15" s="13">
        <v>7115795.0407741927</v>
      </c>
      <c r="Q15" s="22">
        <f t="shared" si="1"/>
        <v>353.84738289400917</v>
      </c>
      <c r="R15" s="16">
        <f t="shared" si="2"/>
        <v>7430795.0407741927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9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118.09944142083522</v>
      </c>
      <c r="P16" s="13">
        <v>2125789.9455750342</v>
      </c>
      <c r="Q16" s="13">
        <f t="shared" si="1"/>
        <v>121.09944142083522</v>
      </c>
      <c r="R16" s="16">
        <f t="shared" si="2"/>
        <v>2179789.9455750342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9">
        <v>11</v>
      </c>
      <c r="J17" s="14">
        <v>52.86</v>
      </c>
      <c r="K17" s="14">
        <v>581.46</v>
      </c>
      <c r="L17" s="13">
        <v>12210660</v>
      </c>
      <c r="M17" s="15">
        <v>9</v>
      </c>
      <c r="N17" s="13">
        <f t="shared" si="0"/>
        <v>189000</v>
      </c>
      <c r="O17" s="13">
        <v>249.6211827956989</v>
      </c>
      <c r="P17" s="13">
        <v>5242044.8387096785</v>
      </c>
      <c r="Q17" s="13">
        <f t="shared" si="1"/>
        <v>258.62118279569893</v>
      </c>
      <c r="R17" s="16">
        <f t="shared" si="2"/>
        <v>5431044.8387096785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9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60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9">
        <v>5</v>
      </c>
      <c r="J20" s="14">
        <v>52.86</v>
      </c>
      <c r="K20" s="14">
        <v>264.3</v>
      </c>
      <c r="L20" s="13">
        <v>6871800</v>
      </c>
      <c r="M20" s="15">
        <v>5</v>
      </c>
      <c r="N20" s="13">
        <f t="shared" si="0"/>
        <v>130000</v>
      </c>
      <c r="O20" s="13">
        <v>130.88151278924727</v>
      </c>
      <c r="P20" s="13">
        <v>3402919.332520429</v>
      </c>
      <c r="Q20" s="13">
        <f t="shared" si="1"/>
        <v>135.88151278924727</v>
      </c>
      <c r="R20" s="16">
        <f t="shared" si="2"/>
        <v>3532919.332520429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9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41.544076344086022</v>
      </c>
      <c r="P21" s="13">
        <v>789337.45053763431</v>
      </c>
      <c r="Q21" s="13">
        <f t="shared" si="1"/>
        <v>43.544076344086022</v>
      </c>
      <c r="R21" s="16">
        <f t="shared" si="2"/>
        <v>827337.45053763431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9">
        <v>2</v>
      </c>
      <c r="J22" s="14">
        <v>52.86</v>
      </c>
      <c r="K22" s="14">
        <v>105.72</v>
      </c>
      <c r="L22" s="13">
        <v>2220120</v>
      </c>
      <c r="M22" s="15">
        <v>2</v>
      </c>
      <c r="N22" s="13">
        <f t="shared" si="0"/>
        <v>42000</v>
      </c>
      <c r="O22" s="13">
        <v>46.995161290322578</v>
      </c>
      <c r="P22" s="13">
        <v>986898.38709677418</v>
      </c>
      <c r="Q22" s="13">
        <f t="shared" si="1"/>
        <v>48.995161290322578</v>
      </c>
      <c r="R22" s="16">
        <f t="shared" si="2"/>
        <v>1028898.3870967742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9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9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9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9">
        <v>4</v>
      </c>
      <c r="J26" s="14">
        <v>52.86</v>
      </c>
      <c r="K26" s="14"/>
      <c r="L26" s="13">
        <v>3171600</v>
      </c>
      <c r="M26" s="15">
        <v>4</v>
      </c>
      <c r="N26" s="13">
        <f t="shared" si="0"/>
        <v>60000</v>
      </c>
      <c r="O26" s="13">
        <v>208.82717674347157</v>
      </c>
      <c r="P26" s="13">
        <v>3132407.6511520739</v>
      </c>
      <c r="Q26" s="13">
        <f t="shared" si="1"/>
        <v>212.82717674347157</v>
      </c>
      <c r="R26" s="16">
        <f t="shared" si="2"/>
        <v>3192407.6511520739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9">
        <v>14</v>
      </c>
      <c r="J27" s="14">
        <v>52.86</v>
      </c>
      <c r="K27" s="14"/>
      <c r="L27" s="13">
        <v>12580680</v>
      </c>
      <c r="M27" s="15">
        <v>21.129032258064516</v>
      </c>
      <c r="N27" s="13">
        <f t="shared" si="0"/>
        <v>359193.54838709679</v>
      </c>
      <c r="O27" s="13">
        <v>505.31016609907834</v>
      </c>
      <c r="P27" s="13">
        <v>8590272.8236843329</v>
      </c>
      <c r="Q27" s="13">
        <f t="shared" si="1"/>
        <v>526.43919835714291</v>
      </c>
      <c r="R27" s="16">
        <f t="shared" si="2"/>
        <v>8949466.3720714301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9">
        <v>16</v>
      </c>
      <c r="J28" s="14">
        <v>52.86</v>
      </c>
      <c r="K28" s="14"/>
      <c r="L28" s="13">
        <v>10149120</v>
      </c>
      <c r="M28" s="15">
        <v>12.774193548387096</v>
      </c>
      <c r="N28" s="13">
        <f t="shared" si="0"/>
        <v>153290.32258064515</v>
      </c>
      <c r="O28" s="13">
        <v>591.58840048004595</v>
      </c>
      <c r="P28" s="13">
        <v>7099060.8057605512</v>
      </c>
      <c r="Q28" s="13">
        <f t="shared" si="1"/>
        <v>604.36259402843302</v>
      </c>
      <c r="R28" s="16">
        <f t="shared" si="2"/>
        <v>7252351.1283411961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9">
        <v>74</v>
      </c>
      <c r="J29" s="14">
        <v>52.86</v>
      </c>
      <c r="K29" s="14">
        <v>3911.64</v>
      </c>
      <c r="L29" s="13">
        <v>46939680</v>
      </c>
      <c r="M29" s="15">
        <v>84.645161290322577</v>
      </c>
      <c r="N29" s="13">
        <f t="shared" si="0"/>
        <v>1015741.9354838709</v>
      </c>
      <c r="O29" s="13">
        <v>2117.7856754414893</v>
      </c>
      <c r="P29" s="13">
        <v>25413428.105297875</v>
      </c>
      <c r="Q29" s="13">
        <f t="shared" si="1"/>
        <v>2202.4308367318117</v>
      </c>
      <c r="R29" s="16">
        <f t="shared" si="2"/>
        <v>26429170.040781744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9">
        <v>4</v>
      </c>
      <c r="J30" s="14">
        <v>52.86</v>
      </c>
      <c r="K30" s="14"/>
      <c r="L30" s="13">
        <v>2325840</v>
      </c>
      <c r="M30" s="15">
        <v>3</v>
      </c>
      <c r="N30" s="13">
        <f t="shared" si="0"/>
        <v>33000</v>
      </c>
      <c r="O30" s="13">
        <v>113.24450479262673</v>
      </c>
      <c r="P30" s="13">
        <v>1245689.5527188939</v>
      </c>
      <c r="Q30" s="13">
        <f t="shared" si="1"/>
        <v>116.24450479262673</v>
      </c>
      <c r="R30" s="16">
        <f t="shared" si="2"/>
        <v>1278689.5527188939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9">
        <v>50</v>
      </c>
      <c r="J31" s="14">
        <v>52.86</v>
      </c>
      <c r="K31" s="14"/>
      <c r="L31" s="13">
        <v>34359000</v>
      </c>
      <c r="M31" s="15">
        <v>77.161290322580641</v>
      </c>
      <c r="N31" s="13">
        <f t="shared" si="0"/>
        <v>1003096.7741935484</v>
      </c>
      <c r="O31" s="13">
        <v>1919.7237848856382</v>
      </c>
      <c r="P31" s="13">
        <v>24956409.203513298</v>
      </c>
      <c r="Q31" s="13">
        <f t="shared" si="1"/>
        <v>1996.885075208219</v>
      </c>
      <c r="R31" s="16">
        <f t="shared" si="2"/>
        <v>25959505.977706846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9">
        <v>16</v>
      </c>
      <c r="J32" s="14">
        <v>52.86</v>
      </c>
      <c r="K32" s="14"/>
      <c r="L32" s="13">
        <v>9303360</v>
      </c>
      <c r="M32" s="15">
        <v>27.870967741935484</v>
      </c>
      <c r="N32" s="13">
        <f t="shared" si="0"/>
        <v>306580.6451612903</v>
      </c>
      <c r="O32" s="13">
        <v>617.00446710165272</v>
      </c>
      <c r="P32" s="13">
        <v>6787049.1381181795</v>
      </c>
      <c r="Q32" s="13">
        <f t="shared" si="1"/>
        <v>644.87543484358821</v>
      </c>
      <c r="R32" s="16">
        <f t="shared" si="2"/>
        <v>7093629.7832794702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9">
        <v>26</v>
      </c>
      <c r="J33" s="14">
        <v>52.86</v>
      </c>
      <c r="K33" s="14"/>
      <c r="L33" s="13">
        <v>16492319.999999998</v>
      </c>
      <c r="M33" s="15">
        <v>33.903225806451616</v>
      </c>
      <c r="N33" s="13">
        <f t="shared" si="0"/>
        <v>406838.70967741939</v>
      </c>
      <c r="O33" s="13">
        <v>653.54236652642305</v>
      </c>
      <c r="P33" s="13">
        <v>7842508.3983170753</v>
      </c>
      <c r="Q33" s="13">
        <f t="shared" si="1"/>
        <v>687.44559233287464</v>
      </c>
      <c r="R33" s="16">
        <f t="shared" si="2"/>
        <v>8249347.107994495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9">
        <v>10</v>
      </c>
      <c r="J34" s="14">
        <v>52.86</v>
      </c>
      <c r="K34" s="14">
        <v>528.6</v>
      </c>
      <c r="L34" s="13">
        <v>5286000</v>
      </c>
      <c r="M34" s="15">
        <v>13.67741935483871</v>
      </c>
      <c r="N34" s="13">
        <f t="shared" si="0"/>
        <v>136774.19354838709</v>
      </c>
      <c r="O34" s="13">
        <v>606.5782630618512</v>
      </c>
      <c r="P34" s="13">
        <v>6065782.6306185136</v>
      </c>
      <c r="Q34" s="13">
        <f t="shared" si="1"/>
        <v>620.25568241668987</v>
      </c>
      <c r="R34" s="16">
        <f t="shared" si="2"/>
        <v>6202556.8241669005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61">
        <v>9.4076787741203187</v>
      </c>
      <c r="J35" s="29">
        <v>52.86</v>
      </c>
      <c r="K35" s="29">
        <v>497.28990000000005</v>
      </c>
      <c r="L35" s="28">
        <v>4972899</v>
      </c>
      <c r="M35" s="30">
        <v>13.903225806451612</v>
      </c>
      <c r="N35" s="28">
        <f t="shared" si="0"/>
        <v>139032.25806451612</v>
      </c>
      <c r="O35" s="28">
        <v>374.70414592933952</v>
      </c>
      <c r="P35" s="13">
        <v>3747041.4592933957</v>
      </c>
      <c r="Q35" s="28">
        <f t="shared" si="1"/>
        <v>388.60737173579111</v>
      </c>
      <c r="R35" s="31">
        <f t="shared" si="2"/>
        <v>3886073.7173579121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32">
        <f>SUM(H6:H35)</f>
        <v>126000000</v>
      </c>
      <c r="I36" s="32"/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6697290.3225806458</v>
      </c>
      <c r="O36" s="34"/>
      <c r="P36" s="34">
        <f>SUM(P6:P35)</f>
        <v>182086635.99492276</v>
      </c>
      <c r="Q36" s="34"/>
      <c r="R36" s="36">
        <f>SUM(R6:R35)</f>
        <v>188783926.31750342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1004593.5483870968</v>
      </c>
      <c r="O37" s="40"/>
      <c r="P37" s="40">
        <f>P36*0.15</f>
        <v>27312995.399238411</v>
      </c>
      <c r="Q37" s="40"/>
      <c r="R37" s="41">
        <f>R36*0.15</f>
        <v>28317588.947625514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7701883.870967743</v>
      </c>
      <c r="O38" s="40"/>
      <c r="P38" s="40">
        <f>P36+P37</f>
        <v>209399631.39416116</v>
      </c>
      <c r="Q38" s="40"/>
      <c r="R38" s="41">
        <f>R36+R37</f>
        <v>217101515.26512894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2.1950270010803626E-2</v>
      </c>
      <c r="O39" s="43"/>
      <c r="P39" s="44">
        <v>0.23952879231692664</v>
      </c>
      <c r="Q39" s="43"/>
      <c r="R39" s="45">
        <f>R36/L36</f>
        <v>0.61873652727841089</v>
      </c>
      <c r="S39" s="7"/>
    </row>
  </sheetData>
  <mergeCells count="21">
    <mergeCell ref="C3:N3"/>
    <mergeCell ref="O3:P3"/>
    <mergeCell ref="Q3:R3"/>
    <mergeCell ref="I1:N1"/>
    <mergeCell ref="O1:R1"/>
    <mergeCell ref="I2:N2"/>
    <mergeCell ref="O2:P2"/>
    <mergeCell ref="Q2:R2"/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</mergeCells>
  <printOptions horizontalCentered="1"/>
  <pageMargins left="0.7" right="0.7" top="0.75" bottom="0.75" header="0.3" footer="0.3"/>
  <pageSetup paperSize="9" scale="3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D685-0DA5-45F3-99F8-BAD234F52A43}">
  <sheetPr>
    <pageSetUpPr fitToPage="1"/>
  </sheetPr>
  <dimension ref="A1:Y39"/>
  <sheetViews>
    <sheetView rightToLeft="1" view="pageBreakPreview" zoomScale="50" zoomScaleNormal="40" zoomScaleSheetLayoutView="50" workbookViewId="0">
      <selection activeCell="L10" sqref="L10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5" width="16.09765625" style="1" bestFit="1" customWidth="1"/>
    <col min="6" max="6" width="8.5" style="1" bestFit="1" customWidth="1"/>
    <col min="7" max="7" width="12.5" style="1" hidden="1" customWidth="1"/>
    <col min="8" max="8" width="25.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96" t="s">
        <v>83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I2" s="57" t="s">
        <v>73</v>
      </c>
      <c r="J2" s="57"/>
      <c r="K2" s="57"/>
      <c r="L2" s="57"/>
      <c r="M2" s="57"/>
      <c r="N2" s="57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70.8" customHeight="1" x14ac:dyDescent="0.25">
      <c r="A4" s="66" t="s">
        <v>6</v>
      </c>
      <c r="B4" s="67" t="s">
        <v>7</v>
      </c>
      <c r="C4" s="67" t="s">
        <v>8</v>
      </c>
      <c r="D4" s="89" t="s">
        <v>9</v>
      </c>
      <c r="E4" s="90" t="s">
        <v>10</v>
      </c>
      <c r="F4" s="91"/>
      <c r="G4" s="91"/>
      <c r="H4" s="92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8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9">
        <v>1.5</v>
      </c>
      <c r="J6" s="14">
        <v>52.86</v>
      </c>
      <c r="K6" s="14">
        <v>79.289999999999992</v>
      </c>
      <c r="L6" s="13">
        <v>3964499.9999999995</v>
      </c>
      <c r="M6" s="15">
        <v>1</v>
      </c>
      <c r="N6" s="13">
        <f>D6*M6</f>
        <v>50000</v>
      </c>
      <c r="O6" s="13">
        <v>42.331336405529953</v>
      </c>
      <c r="P6" s="13">
        <v>2116566.8202764979</v>
      </c>
      <c r="Q6" s="13">
        <f>M6+O6</f>
        <v>43.331336405529953</v>
      </c>
      <c r="R6" s="16">
        <f>P6+N6</f>
        <v>2166566.8202764979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9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9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9">
        <v>23</v>
      </c>
      <c r="J9" s="14">
        <v>52.86</v>
      </c>
      <c r="K9" s="14">
        <v>1215.78</v>
      </c>
      <c r="L9" s="13">
        <v>34041840</v>
      </c>
      <c r="M9" s="15">
        <v>28.033333333333335</v>
      </c>
      <c r="N9" s="13">
        <f t="shared" si="0"/>
        <v>784933.33333333337</v>
      </c>
      <c r="O9" s="13">
        <v>789.60389182999722</v>
      </c>
      <c r="P9" s="13">
        <v>22108908.971239924</v>
      </c>
      <c r="Q9" s="13">
        <f t="shared" si="1"/>
        <v>817.63722516333053</v>
      </c>
      <c r="R9" s="16">
        <f t="shared" si="2"/>
        <v>22893842.304573257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9">
        <v>4</v>
      </c>
      <c r="J10" s="14">
        <v>52.86</v>
      </c>
      <c r="K10" s="14">
        <v>211.44</v>
      </c>
      <c r="L10" s="13">
        <v>4017360</v>
      </c>
      <c r="M10" s="15">
        <v>0</v>
      </c>
      <c r="N10" s="13">
        <f t="shared" si="0"/>
        <v>0</v>
      </c>
      <c r="O10" s="13">
        <v>56.591655760368667</v>
      </c>
      <c r="P10" s="13">
        <v>1075241.4594470046</v>
      </c>
      <c r="Q10" s="13">
        <f t="shared" si="1"/>
        <v>56.591655760368667</v>
      </c>
      <c r="R10" s="16">
        <f t="shared" si="2"/>
        <v>1075241.4594470046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9">
        <v>47</v>
      </c>
      <c r="J11" s="14">
        <v>52.86</v>
      </c>
      <c r="K11" s="14">
        <v>2484.42</v>
      </c>
      <c r="L11" s="13">
        <v>52172820</v>
      </c>
      <c r="M11" s="15">
        <v>55.366666666666667</v>
      </c>
      <c r="N11" s="13">
        <f t="shared" si="0"/>
        <v>1162700</v>
      </c>
      <c r="O11" s="13">
        <v>1483.8534521931242</v>
      </c>
      <c r="P11" s="13">
        <v>31160922.496055607</v>
      </c>
      <c r="Q11" s="13">
        <f t="shared" si="1"/>
        <v>1539.2201188597908</v>
      </c>
      <c r="R11" s="16">
        <f t="shared" si="2"/>
        <v>32323622.496055607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9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33.146633333333334</v>
      </c>
      <c r="P12" s="13">
        <v>629786.03333333333</v>
      </c>
      <c r="Q12" s="13">
        <f t="shared" si="1"/>
        <v>34.146633333333334</v>
      </c>
      <c r="R12" s="16">
        <f t="shared" si="2"/>
        <v>648786.03333333333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9">
        <v>15</v>
      </c>
      <c r="J13" s="14">
        <v>52.86</v>
      </c>
      <c r="K13" s="14">
        <v>792.9</v>
      </c>
      <c r="L13" s="13">
        <v>16650900</v>
      </c>
      <c r="M13" s="15">
        <v>13.566666666666666</v>
      </c>
      <c r="N13" s="13">
        <f t="shared" si="0"/>
        <v>284900</v>
      </c>
      <c r="O13" s="13">
        <v>362.35806806557542</v>
      </c>
      <c r="P13" s="13">
        <v>7609519.4293770827</v>
      </c>
      <c r="Q13" s="13">
        <f t="shared" si="1"/>
        <v>375.92473473224209</v>
      </c>
      <c r="R13" s="16">
        <f t="shared" si="2"/>
        <v>7894419.4293770827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60">
        <v>3</v>
      </c>
      <c r="J14" s="23">
        <v>52.86</v>
      </c>
      <c r="K14" s="23">
        <v>158.57999999999998</v>
      </c>
      <c r="L14" s="22">
        <v>3013019.9999999995</v>
      </c>
      <c r="M14" s="24">
        <v>1</v>
      </c>
      <c r="N14" s="22">
        <f t="shared" si="0"/>
        <v>19000</v>
      </c>
      <c r="O14" s="22">
        <v>27.511720430107527</v>
      </c>
      <c r="P14" s="13">
        <v>522722.68817204295</v>
      </c>
      <c r="Q14" s="22">
        <f t="shared" si="1"/>
        <v>28.511720430107527</v>
      </c>
      <c r="R14" s="16">
        <f t="shared" si="2"/>
        <v>541722.68817204295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60">
        <v>14</v>
      </c>
      <c r="J15" s="23">
        <v>52.86</v>
      </c>
      <c r="K15" s="23">
        <v>740.04</v>
      </c>
      <c r="L15" s="22">
        <v>15540840</v>
      </c>
      <c r="M15" s="24">
        <v>13.766666666666667</v>
      </c>
      <c r="N15" s="22">
        <f t="shared" si="0"/>
        <v>289100</v>
      </c>
      <c r="O15" s="22">
        <v>325.08071622734252</v>
      </c>
      <c r="P15" s="13">
        <v>6826695.0407741927</v>
      </c>
      <c r="Q15" s="22">
        <f t="shared" si="1"/>
        <v>338.84738289400917</v>
      </c>
      <c r="R15" s="16">
        <f t="shared" si="2"/>
        <v>7115795.0407741927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9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115.09944142083522</v>
      </c>
      <c r="P16" s="13">
        <v>2071789.945575034</v>
      </c>
      <c r="Q16" s="13">
        <f t="shared" si="1"/>
        <v>118.09944142083522</v>
      </c>
      <c r="R16" s="16">
        <f t="shared" si="2"/>
        <v>2125789.9455750342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9">
        <v>11</v>
      </c>
      <c r="J17" s="14">
        <v>52.86</v>
      </c>
      <c r="K17" s="14">
        <v>581.46</v>
      </c>
      <c r="L17" s="13">
        <v>12210660</v>
      </c>
      <c r="M17" s="15">
        <v>9.6999999999999993</v>
      </c>
      <c r="N17" s="13">
        <f t="shared" si="0"/>
        <v>203699.99999999997</v>
      </c>
      <c r="O17" s="13">
        <v>239.92118279569891</v>
      </c>
      <c r="P17" s="13">
        <v>5038344.8387096785</v>
      </c>
      <c r="Q17" s="13">
        <f t="shared" si="1"/>
        <v>249.6211827956989</v>
      </c>
      <c r="R17" s="16">
        <f t="shared" si="2"/>
        <v>5242044.8387096785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9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60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9">
        <v>5</v>
      </c>
      <c r="J20" s="14">
        <v>52.86</v>
      </c>
      <c r="K20" s="14">
        <v>264.3</v>
      </c>
      <c r="L20" s="13">
        <v>6871800</v>
      </c>
      <c r="M20" s="15">
        <v>5</v>
      </c>
      <c r="N20" s="13">
        <f t="shared" si="0"/>
        <v>130000</v>
      </c>
      <c r="O20" s="13">
        <v>125.88151278924727</v>
      </c>
      <c r="P20" s="13">
        <v>3272919.332520429</v>
      </c>
      <c r="Q20" s="13">
        <f t="shared" si="1"/>
        <v>130.88151278924727</v>
      </c>
      <c r="R20" s="16">
        <f t="shared" si="2"/>
        <v>3402919.332520429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9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39.544076344086022</v>
      </c>
      <c r="P21" s="13">
        <v>751337.45053763431</v>
      </c>
      <c r="Q21" s="13">
        <f t="shared" si="1"/>
        <v>41.544076344086022</v>
      </c>
      <c r="R21" s="16">
        <f t="shared" si="2"/>
        <v>789337.45053763431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9">
        <v>2</v>
      </c>
      <c r="J22" s="14">
        <v>52.86</v>
      </c>
      <c r="K22" s="14">
        <v>105.72</v>
      </c>
      <c r="L22" s="13">
        <v>2220120</v>
      </c>
      <c r="M22" s="15">
        <v>1.9</v>
      </c>
      <c r="N22" s="13">
        <f t="shared" si="0"/>
        <v>39900</v>
      </c>
      <c r="O22" s="13">
        <v>45.095161290322579</v>
      </c>
      <c r="P22" s="13">
        <v>946998.38709677418</v>
      </c>
      <c r="Q22" s="13">
        <f t="shared" si="1"/>
        <v>46.995161290322578</v>
      </c>
      <c r="R22" s="16">
        <f t="shared" si="2"/>
        <v>986898.38709677418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9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9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9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9">
        <v>4</v>
      </c>
      <c r="J26" s="14">
        <v>52.86</v>
      </c>
      <c r="K26" s="14"/>
      <c r="L26" s="13">
        <v>3171600</v>
      </c>
      <c r="M26" s="15">
        <v>4</v>
      </c>
      <c r="N26" s="13">
        <f t="shared" si="0"/>
        <v>60000</v>
      </c>
      <c r="O26" s="13">
        <v>204.82717674347157</v>
      </c>
      <c r="P26" s="13">
        <v>3072407.6511520739</v>
      </c>
      <c r="Q26" s="13">
        <f t="shared" si="1"/>
        <v>208.82717674347157</v>
      </c>
      <c r="R26" s="16">
        <f t="shared" si="2"/>
        <v>3132407.6511520739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9">
        <v>14</v>
      </c>
      <c r="J27" s="14">
        <v>52.86</v>
      </c>
      <c r="K27" s="14"/>
      <c r="L27" s="13">
        <v>12580680</v>
      </c>
      <c r="M27" s="15">
        <v>20.366666666666667</v>
      </c>
      <c r="N27" s="13">
        <f t="shared" si="0"/>
        <v>346233.33333333331</v>
      </c>
      <c r="O27" s="13">
        <v>484.94349943241167</v>
      </c>
      <c r="P27" s="13">
        <v>8244039.4903509989</v>
      </c>
      <c r="Q27" s="13">
        <f t="shared" si="1"/>
        <v>505.31016609907834</v>
      </c>
      <c r="R27" s="16">
        <f t="shared" si="2"/>
        <v>8590272.8236843329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9">
        <v>16</v>
      </c>
      <c r="J28" s="14">
        <v>52.86</v>
      </c>
      <c r="K28" s="14"/>
      <c r="L28" s="13">
        <v>10149120</v>
      </c>
      <c r="M28" s="15">
        <v>11.366666666666667</v>
      </c>
      <c r="N28" s="13">
        <f t="shared" si="0"/>
        <v>136400</v>
      </c>
      <c r="O28" s="13">
        <v>580.22173381337927</v>
      </c>
      <c r="P28" s="13">
        <v>6962660.8057605512</v>
      </c>
      <c r="Q28" s="13">
        <f t="shared" si="1"/>
        <v>591.58840048004595</v>
      </c>
      <c r="R28" s="16">
        <f t="shared" si="2"/>
        <v>7099060.8057605512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9">
        <v>74</v>
      </c>
      <c r="J29" s="14">
        <v>52.86</v>
      </c>
      <c r="K29" s="14">
        <v>3911.64</v>
      </c>
      <c r="L29" s="13">
        <v>46939680</v>
      </c>
      <c r="M29" s="15">
        <v>77.766666666666666</v>
      </c>
      <c r="N29" s="13">
        <f t="shared" si="0"/>
        <v>933200</v>
      </c>
      <c r="O29" s="13">
        <v>2040.0190087748226</v>
      </c>
      <c r="P29" s="13">
        <v>24480228.105297875</v>
      </c>
      <c r="Q29" s="13">
        <f t="shared" si="1"/>
        <v>2117.7856754414893</v>
      </c>
      <c r="R29" s="16">
        <f t="shared" si="2"/>
        <v>25413428.105297875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9">
        <v>4</v>
      </c>
      <c r="J30" s="14">
        <v>52.86</v>
      </c>
      <c r="K30" s="14"/>
      <c r="L30" s="13">
        <v>2325840</v>
      </c>
      <c r="M30" s="15">
        <v>2.5</v>
      </c>
      <c r="N30" s="13">
        <f t="shared" si="0"/>
        <v>27500</v>
      </c>
      <c r="O30" s="13">
        <v>110.74450479262673</v>
      </c>
      <c r="P30" s="13">
        <v>1218189.5527188939</v>
      </c>
      <c r="Q30" s="13">
        <f t="shared" si="1"/>
        <v>113.24450479262673</v>
      </c>
      <c r="R30" s="16">
        <f t="shared" si="2"/>
        <v>1245689.5527188939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9">
        <v>50</v>
      </c>
      <c r="J31" s="14">
        <v>52.86</v>
      </c>
      <c r="K31" s="14"/>
      <c r="L31" s="13">
        <v>34359000</v>
      </c>
      <c r="M31" s="15">
        <v>74.833333333333329</v>
      </c>
      <c r="N31" s="13">
        <f t="shared" si="0"/>
        <v>972833.33333333326</v>
      </c>
      <c r="O31" s="13">
        <v>1844.890451552305</v>
      </c>
      <c r="P31" s="13">
        <v>23983575.870179966</v>
      </c>
      <c r="Q31" s="13">
        <f t="shared" si="1"/>
        <v>1919.7237848856382</v>
      </c>
      <c r="R31" s="16">
        <f t="shared" si="2"/>
        <v>24956409.203513298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9">
        <v>16</v>
      </c>
      <c r="J32" s="14">
        <v>52.86</v>
      </c>
      <c r="K32" s="14"/>
      <c r="L32" s="13">
        <v>9303360</v>
      </c>
      <c r="M32" s="15">
        <v>25.866666666666667</v>
      </c>
      <c r="N32" s="13">
        <f t="shared" si="0"/>
        <v>284533.33333333331</v>
      </c>
      <c r="O32" s="13">
        <v>591.13780043498605</v>
      </c>
      <c r="P32" s="13">
        <v>6502515.8047848465</v>
      </c>
      <c r="Q32" s="13">
        <f t="shared" si="1"/>
        <v>617.00446710165272</v>
      </c>
      <c r="R32" s="16">
        <f t="shared" si="2"/>
        <v>6787049.1381181795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9">
        <v>26</v>
      </c>
      <c r="J33" s="14">
        <v>52.86</v>
      </c>
      <c r="K33" s="14"/>
      <c r="L33" s="13">
        <v>16492319.999999998</v>
      </c>
      <c r="M33" s="15">
        <v>32.333333333333336</v>
      </c>
      <c r="N33" s="13">
        <f t="shared" si="0"/>
        <v>388000</v>
      </c>
      <c r="O33" s="13">
        <v>621.20903319308968</v>
      </c>
      <c r="P33" s="13">
        <v>7454508.3983170753</v>
      </c>
      <c r="Q33" s="13">
        <f t="shared" si="1"/>
        <v>653.54236652642305</v>
      </c>
      <c r="R33" s="16">
        <f t="shared" si="2"/>
        <v>7842508.3983170753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9">
        <v>10</v>
      </c>
      <c r="J34" s="14">
        <v>52.86</v>
      </c>
      <c r="K34" s="14">
        <v>528.6</v>
      </c>
      <c r="L34" s="13">
        <v>5286000</v>
      </c>
      <c r="M34" s="15">
        <v>12.7</v>
      </c>
      <c r="N34" s="13">
        <f t="shared" si="0"/>
        <v>127000</v>
      </c>
      <c r="O34" s="13">
        <v>593.87826306185116</v>
      </c>
      <c r="P34" s="13">
        <v>5938782.6306185136</v>
      </c>
      <c r="Q34" s="13">
        <f t="shared" si="1"/>
        <v>606.5782630618512</v>
      </c>
      <c r="R34" s="16">
        <f t="shared" si="2"/>
        <v>6065782.6306185136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61">
        <v>9.4076787741203187</v>
      </c>
      <c r="J35" s="29">
        <v>52.86</v>
      </c>
      <c r="K35" s="29">
        <v>497.28990000000005</v>
      </c>
      <c r="L35" s="28">
        <v>4972899</v>
      </c>
      <c r="M35" s="30">
        <v>12.233333333333333</v>
      </c>
      <c r="N35" s="28">
        <f t="shared" si="0"/>
        <v>122333.33333333333</v>
      </c>
      <c r="O35" s="28">
        <v>362.47081259600617</v>
      </c>
      <c r="P35" s="13">
        <v>3624708.1259600623</v>
      </c>
      <c r="Q35" s="28">
        <f t="shared" si="1"/>
        <v>374.70414592933952</v>
      </c>
      <c r="R35" s="31">
        <f t="shared" si="2"/>
        <v>3747041.4592933957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54">
        <f>SUM(H6:H35)</f>
        <v>126000000</v>
      </c>
      <c r="I36" s="32"/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6473266.666666666</v>
      </c>
      <c r="O36" s="34"/>
      <c r="P36" s="34">
        <f>SUM(P6:P35)</f>
        <v>175613369.32825607</v>
      </c>
      <c r="Q36" s="34"/>
      <c r="R36" s="36">
        <f>SUM(R6:R35)</f>
        <v>182086635.99492276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970989.99999999988</v>
      </c>
      <c r="O37" s="40"/>
      <c r="P37" s="40">
        <f>P36*0.15</f>
        <v>26342005.399238411</v>
      </c>
      <c r="Q37" s="40"/>
      <c r="R37" s="41">
        <f>R36*0.15</f>
        <v>27312995.399238411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7444256.666666666</v>
      </c>
      <c r="O38" s="40"/>
      <c r="P38" s="40">
        <f>P36+P37</f>
        <v>201955374.72749448</v>
      </c>
      <c r="Q38" s="40"/>
      <c r="R38" s="41">
        <f>R36+R37</f>
        <v>209399631.39416116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2.1216035790802779E-2</v>
      </c>
      <c r="O39" s="43"/>
      <c r="P39" s="44">
        <v>0.23952879231692664</v>
      </c>
      <c r="Q39" s="43"/>
      <c r="R39" s="45">
        <f>R36/L36</f>
        <v>0.59678625726760715</v>
      </c>
      <c r="S39" s="7"/>
    </row>
  </sheetData>
  <mergeCells count="20">
    <mergeCell ref="C1:N1"/>
    <mergeCell ref="O1:R1"/>
    <mergeCell ref="O2:P2"/>
    <mergeCell ref="Q2:R2"/>
    <mergeCell ref="C3:N3"/>
    <mergeCell ref="O3:P3"/>
    <mergeCell ref="Q3:R3"/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</mergeCells>
  <printOptions horizontalCentered="1"/>
  <pageMargins left="0.7" right="0.7" top="0.75" bottom="0.75" header="0.3" footer="0.3"/>
  <pageSetup paperSize="9" scale="3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2EAB-B734-4731-B438-7607564E2D49}">
  <sheetPr>
    <pageSetUpPr fitToPage="1"/>
  </sheetPr>
  <dimension ref="A1:Y39"/>
  <sheetViews>
    <sheetView rightToLeft="1" view="pageBreakPreview" zoomScale="50" zoomScaleNormal="40" zoomScaleSheetLayoutView="50" workbookViewId="0">
      <selection activeCell="I4" sqref="I4:L35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5" width="16.09765625" style="1" bestFit="1" customWidth="1"/>
    <col min="6" max="6" width="8.5" style="1" bestFit="1" customWidth="1"/>
    <col min="7" max="7" width="12.5" style="1" hidden="1" customWidth="1"/>
    <col min="8" max="8" width="25.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96" t="s">
        <v>67</v>
      </c>
      <c r="F1" s="96"/>
      <c r="G1" s="96"/>
      <c r="H1" s="96"/>
      <c r="I1" s="96"/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E2" s="96" t="s">
        <v>82</v>
      </c>
      <c r="F2" s="96"/>
      <c r="G2" s="96"/>
      <c r="H2" s="96"/>
      <c r="I2" s="96"/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70.8" customHeight="1" x14ac:dyDescent="0.25">
      <c r="A4" s="66" t="s">
        <v>6</v>
      </c>
      <c r="B4" s="67" t="s">
        <v>7</v>
      </c>
      <c r="C4" s="67" t="s">
        <v>8</v>
      </c>
      <c r="D4" s="89" t="s">
        <v>9</v>
      </c>
      <c r="E4" s="90" t="s">
        <v>10</v>
      </c>
      <c r="F4" s="91"/>
      <c r="G4" s="91"/>
      <c r="H4" s="92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1</v>
      </c>
      <c r="N6" s="13">
        <f>D6*M6</f>
        <v>50000</v>
      </c>
      <c r="O6" s="13">
        <v>41.331336405529953</v>
      </c>
      <c r="P6" s="13">
        <v>2066566.8202764979</v>
      </c>
      <c r="Q6" s="13">
        <f>M6+O6</f>
        <v>42.331336405529953</v>
      </c>
      <c r="R6" s="16">
        <f>P6+N6</f>
        <v>2116566.8202764979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31.225806451612904</v>
      </c>
      <c r="N9" s="13">
        <f t="shared" si="0"/>
        <v>874322.58064516133</v>
      </c>
      <c r="O9" s="13">
        <v>758.3780853783843</v>
      </c>
      <c r="P9" s="13">
        <v>21234586.390594762</v>
      </c>
      <c r="Q9" s="13">
        <f t="shared" si="1"/>
        <v>789.60389182999722</v>
      </c>
      <c r="R9" s="16">
        <f t="shared" si="2"/>
        <v>22108908.971239924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2.5161290322580645</v>
      </c>
      <c r="N10" s="13">
        <f t="shared" si="0"/>
        <v>47806.451612903227</v>
      </c>
      <c r="O10" s="13">
        <v>54.075526728110603</v>
      </c>
      <c r="P10" s="13">
        <v>1027435.0078341014</v>
      </c>
      <c r="Q10" s="13">
        <f t="shared" si="1"/>
        <v>56.591655760368667</v>
      </c>
      <c r="R10" s="16">
        <f t="shared" si="2"/>
        <v>1075241.4594470046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59.806451612903224</v>
      </c>
      <c r="N11" s="13">
        <f t="shared" si="0"/>
        <v>1255935.4838709678</v>
      </c>
      <c r="O11" s="13">
        <v>1424.047000580221</v>
      </c>
      <c r="P11" s="13">
        <v>29904987.012184639</v>
      </c>
      <c r="Q11" s="13">
        <f t="shared" si="1"/>
        <v>1483.8534521931242</v>
      </c>
      <c r="R11" s="16">
        <f t="shared" si="2"/>
        <v>31160922.496055607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32.146633333333334</v>
      </c>
      <c r="P12" s="13">
        <v>610786.03333333333</v>
      </c>
      <c r="Q12" s="13">
        <f t="shared" si="1"/>
        <v>33.146633333333334</v>
      </c>
      <c r="R12" s="16">
        <f t="shared" si="2"/>
        <v>629786.03333333333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14.03225806451613</v>
      </c>
      <c r="N13" s="13">
        <f t="shared" si="0"/>
        <v>294677.41935483873</v>
      </c>
      <c r="O13" s="13">
        <v>348.32581000105927</v>
      </c>
      <c r="P13" s="13">
        <v>7314842.0100222444</v>
      </c>
      <c r="Q13" s="13">
        <f t="shared" si="1"/>
        <v>362.35806806557542</v>
      </c>
      <c r="R13" s="16">
        <f t="shared" si="2"/>
        <v>7609519.4293770827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1</v>
      </c>
      <c r="N14" s="22">
        <f t="shared" si="0"/>
        <v>19000</v>
      </c>
      <c r="O14" s="22">
        <v>26.511720430107527</v>
      </c>
      <c r="P14" s="13">
        <v>503722.68817204295</v>
      </c>
      <c r="Q14" s="22">
        <f t="shared" si="1"/>
        <v>27.511720430107527</v>
      </c>
      <c r="R14" s="16">
        <f t="shared" si="2"/>
        <v>522722.68817204295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14.774193548387096</v>
      </c>
      <c r="N15" s="22">
        <f t="shared" si="0"/>
        <v>310258.06451612903</v>
      </c>
      <c r="O15" s="22">
        <v>310.30652267895545</v>
      </c>
      <c r="P15" s="13">
        <v>6516436.9762580637</v>
      </c>
      <c r="Q15" s="22">
        <f t="shared" si="1"/>
        <v>325.08071622734252</v>
      </c>
      <c r="R15" s="16">
        <f t="shared" si="2"/>
        <v>6826695.0407741927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112.09944142083522</v>
      </c>
      <c r="P16" s="13">
        <v>2017789.945575034</v>
      </c>
      <c r="Q16" s="13">
        <f t="shared" si="1"/>
        <v>115.09944142083522</v>
      </c>
      <c r="R16" s="16">
        <f t="shared" si="2"/>
        <v>2071789.945575034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10.35483870967742</v>
      </c>
      <c r="N17" s="13">
        <f t="shared" si="0"/>
        <v>217451.61290322582</v>
      </c>
      <c r="O17" s="13">
        <v>229.5663440860215</v>
      </c>
      <c r="P17" s="13">
        <v>4820893.2258064523</v>
      </c>
      <c r="Q17" s="13">
        <f t="shared" si="1"/>
        <v>239.92118279569891</v>
      </c>
      <c r="R17" s="16">
        <f t="shared" si="2"/>
        <v>5038344.8387096785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5.225806451612903</v>
      </c>
      <c r="N20" s="13">
        <f t="shared" si="0"/>
        <v>135870.96774193548</v>
      </c>
      <c r="O20" s="13">
        <v>120.65570633763437</v>
      </c>
      <c r="P20" s="13">
        <v>3137048.3647784935</v>
      </c>
      <c r="Q20" s="13">
        <f t="shared" si="1"/>
        <v>125.88151278924727</v>
      </c>
      <c r="R20" s="16">
        <f t="shared" si="2"/>
        <v>3272919.332520429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37.544076344086022</v>
      </c>
      <c r="P21" s="13">
        <v>713337.45053763431</v>
      </c>
      <c r="Q21" s="13">
        <f t="shared" si="1"/>
        <v>39.544076344086022</v>
      </c>
      <c r="R21" s="16">
        <f t="shared" si="2"/>
        <v>751337.45053763431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2</v>
      </c>
      <c r="N22" s="13">
        <f t="shared" si="0"/>
        <v>42000</v>
      </c>
      <c r="O22" s="13">
        <v>43.095161290322579</v>
      </c>
      <c r="P22" s="13">
        <v>904998.38709677418</v>
      </c>
      <c r="Q22" s="13">
        <f t="shared" si="1"/>
        <v>45.095161290322579</v>
      </c>
      <c r="R22" s="16">
        <f t="shared" si="2"/>
        <v>946998.38709677418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1">
        <v>4</v>
      </c>
      <c r="J26" s="14">
        <v>52.86</v>
      </c>
      <c r="K26" s="14"/>
      <c r="L26" s="13">
        <v>3171600</v>
      </c>
      <c r="M26" s="15">
        <v>5.4516129032258061</v>
      </c>
      <c r="N26" s="13">
        <f t="shared" si="0"/>
        <v>81774.193548387091</v>
      </c>
      <c r="O26" s="13">
        <v>199.37556384024577</v>
      </c>
      <c r="P26" s="13">
        <v>2990633.457603687</v>
      </c>
      <c r="Q26" s="13">
        <f t="shared" si="1"/>
        <v>204.82717674347157</v>
      </c>
      <c r="R26" s="16">
        <f t="shared" si="2"/>
        <v>3072407.6511520739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1">
        <v>14</v>
      </c>
      <c r="J27" s="14">
        <v>52.86</v>
      </c>
      <c r="K27" s="14"/>
      <c r="L27" s="13">
        <v>12580680</v>
      </c>
      <c r="M27" s="15">
        <v>23.838709677419356</v>
      </c>
      <c r="N27" s="13">
        <f t="shared" si="0"/>
        <v>405258.06451612903</v>
      </c>
      <c r="O27" s="13">
        <v>461.10478975499234</v>
      </c>
      <c r="P27" s="13">
        <v>7838781.42583487</v>
      </c>
      <c r="Q27" s="13">
        <f t="shared" si="1"/>
        <v>484.94349943241167</v>
      </c>
      <c r="R27" s="16">
        <f t="shared" si="2"/>
        <v>8244039.4903509989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1">
        <v>16</v>
      </c>
      <c r="J28" s="14">
        <v>52.86</v>
      </c>
      <c r="K28" s="14"/>
      <c r="L28" s="13">
        <v>10149120</v>
      </c>
      <c r="M28" s="15">
        <v>21.225806451612904</v>
      </c>
      <c r="N28" s="13">
        <f t="shared" si="0"/>
        <v>254709.67741935485</v>
      </c>
      <c r="O28" s="13">
        <v>558.99592736176635</v>
      </c>
      <c r="P28" s="13">
        <v>6707951.1283411961</v>
      </c>
      <c r="Q28" s="13">
        <f t="shared" si="1"/>
        <v>580.22173381337927</v>
      </c>
      <c r="R28" s="16">
        <f t="shared" si="2"/>
        <v>6962660.8057605512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94.322580645161295</v>
      </c>
      <c r="N29" s="13">
        <f t="shared" si="0"/>
        <v>1131870.9677419355</v>
      </c>
      <c r="O29" s="13">
        <v>1945.6964281296614</v>
      </c>
      <c r="P29" s="13">
        <v>23348357.137555938</v>
      </c>
      <c r="Q29" s="13">
        <f t="shared" si="1"/>
        <v>2040.0190087748226</v>
      </c>
      <c r="R29" s="16">
        <f t="shared" si="2"/>
        <v>24480228.105297875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1">
        <v>4</v>
      </c>
      <c r="J30" s="14">
        <v>52.86</v>
      </c>
      <c r="K30" s="14"/>
      <c r="L30" s="13">
        <v>2325840</v>
      </c>
      <c r="M30" s="15">
        <v>3.838709677419355</v>
      </c>
      <c r="N30" s="13">
        <f t="shared" si="0"/>
        <v>42225.806451612902</v>
      </c>
      <c r="O30" s="13">
        <v>106.90579511520737</v>
      </c>
      <c r="P30" s="13">
        <v>1175963.746267281</v>
      </c>
      <c r="Q30" s="13">
        <f t="shared" si="1"/>
        <v>110.74450479262673</v>
      </c>
      <c r="R30" s="16">
        <f t="shared" si="2"/>
        <v>1218189.5527188939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1">
        <v>50</v>
      </c>
      <c r="J31" s="14">
        <v>52.86</v>
      </c>
      <c r="K31" s="14"/>
      <c r="L31" s="13">
        <v>34359000</v>
      </c>
      <c r="M31" s="15">
        <v>86.774193548387103</v>
      </c>
      <c r="N31" s="13">
        <f t="shared" si="0"/>
        <v>1128064.5161290322</v>
      </c>
      <c r="O31" s="13">
        <v>1758.1162580039179</v>
      </c>
      <c r="P31" s="13">
        <v>22855511.354050934</v>
      </c>
      <c r="Q31" s="13">
        <f t="shared" si="1"/>
        <v>1844.890451552305</v>
      </c>
      <c r="R31" s="16">
        <f t="shared" si="2"/>
        <v>23983575.870179966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1">
        <v>16</v>
      </c>
      <c r="J32" s="14">
        <v>52.86</v>
      </c>
      <c r="K32" s="14"/>
      <c r="L32" s="13">
        <v>9303360</v>
      </c>
      <c r="M32" s="15">
        <v>24</v>
      </c>
      <c r="N32" s="13">
        <f t="shared" si="0"/>
        <v>264000</v>
      </c>
      <c r="O32" s="13">
        <v>567.13780043498605</v>
      </c>
      <c r="P32" s="13">
        <v>6238515.8047848465</v>
      </c>
      <c r="Q32" s="13">
        <f t="shared" si="1"/>
        <v>591.13780043498605</v>
      </c>
      <c r="R32" s="16">
        <f t="shared" si="2"/>
        <v>6502515.8047848465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1">
        <v>26</v>
      </c>
      <c r="J33" s="14">
        <v>52.86</v>
      </c>
      <c r="K33" s="14"/>
      <c r="L33" s="13">
        <v>16492319.999999998</v>
      </c>
      <c r="M33" s="15">
        <v>33.967741935483872</v>
      </c>
      <c r="N33" s="13">
        <f t="shared" si="0"/>
        <v>407612.90322580648</v>
      </c>
      <c r="O33" s="13">
        <v>587.24129125760578</v>
      </c>
      <c r="P33" s="13">
        <v>7046895.4950912688</v>
      </c>
      <c r="Q33" s="13">
        <f t="shared" si="1"/>
        <v>621.20903319308968</v>
      </c>
      <c r="R33" s="16">
        <f t="shared" si="2"/>
        <v>7454508.3983170753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23.161290322580644</v>
      </c>
      <c r="N34" s="13">
        <f t="shared" si="0"/>
        <v>231612.90322580645</v>
      </c>
      <c r="O34" s="13">
        <v>570.71697273927055</v>
      </c>
      <c r="P34" s="13">
        <v>5707169.727392707</v>
      </c>
      <c r="Q34" s="13">
        <f t="shared" si="1"/>
        <v>593.87826306185116</v>
      </c>
      <c r="R34" s="16">
        <f t="shared" si="2"/>
        <v>5938782.6306185136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14.806451612903226</v>
      </c>
      <c r="N35" s="28">
        <f t="shared" si="0"/>
        <v>148064.51612903227</v>
      </c>
      <c r="O35" s="28">
        <v>347.66436098310294</v>
      </c>
      <c r="P35" s="13">
        <v>3476643.60983103</v>
      </c>
      <c r="Q35" s="28">
        <f t="shared" si="1"/>
        <v>362.47081259600617</v>
      </c>
      <c r="R35" s="31">
        <f t="shared" si="2"/>
        <v>3624708.1259600623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54">
        <f>SUM(H6:H35)</f>
        <v>126000000</v>
      </c>
      <c r="I36" s="32"/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7453516.1290322589</v>
      </c>
      <c r="O36" s="34"/>
      <c r="P36" s="34">
        <f>SUM(P6:P35)</f>
        <v>168159853.19922382</v>
      </c>
      <c r="Q36" s="34"/>
      <c r="R36" s="36">
        <f>SUM(R6:R35)</f>
        <v>175613369.32825607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1118027.4193548388</v>
      </c>
      <c r="O37" s="40"/>
      <c r="P37" s="40">
        <f>P36*0.15</f>
        <v>25223977.97988357</v>
      </c>
      <c r="Q37" s="40"/>
      <c r="R37" s="41">
        <f>R36*0.15</f>
        <v>26342005.399238411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8571543.5483870972</v>
      </c>
      <c r="O38" s="40"/>
      <c r="P38" s="40">
        <f>P36+P37</f>
        <v>193383831.1791074</v>
      </c>
      <c r="Q38" s="40"/>
      <c r="R38" s="41">
        <f>R36+R37</f>
        <v>201955374.72749448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2.4428788910422487E-2</v>
      </c>
      <c r="O39" s="43"/>
      <c r="P39" s="44">
        <v>0.23952879231692664</v>
      </c>
      <c r="Q39" s="43"/>
      <c r="R39" s="45">
        <f>R36/L36</f>
        <v>0.57557022147680437</v>
      </c>
      <c r="S39" s="7"/>
    </row>
  </sheetData>
  <mergeCells count="21">
    <mergeCell ref="C3:N3"/>
    <mergeCell ref="O3:P3"/>
    <mergeCell ref="Q3:R3"/>
    <mergeCell ref="E1:N1"/>
    <mergeCell ref="O1:R1"/>
    <mergeCell ref="E2:N2"/>
    <mergeCell ref="O2:P2"/>
    <mergeCell ref="Q2:R2"/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</mergeCells>
  <printOptions horizontalCentered="1"/>
  <pageMargins left="0.7" right="0.7" top="0.75" bottom="0.75" header="0.3" footer="0.3"/>
  <pageSetup paperSize="9" scale="3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C401-A9C6-4B8A-89B7-D852B4113697}">
  <sheetPr>
    <pageSetUpPr fitToPage="1"/>
  </sheetPr>
  <dimension ref="A1:Y39"/>
  <sheetViews>
    <sheetView rightToLeft="1" view="pageBreakPreview" topLeftCell="A2" zoomScale="50" zoomScaleNormal="40" zoomScaleSheetLayoutView="50" workbookViewId="0">
      <selection activeCell="H33" sqref="H33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5" width="16.09765625" style="1" bestFit="1" customWidth="1"/>
    <col min="6" max="6" width="8.5" style="1" bestFit="1" customWidth="1"/>
    <col min="7" max="7" width="12.5" style="1" hidden="1" customWidth="1"/>
    <col min="8" max="8" width="20.0976562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96" t="s">
        <v>65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D2" s="96" t="s">
        <v>66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70.8" customHeight="1" x14ac:dyDescent="0.25">
      <c r="A4" s="66" t="s">
        <v>6</v>
      </c>
      <c r="B4" s="67" t="s">
        <v>7</v>
      </c>
      <c r="C4" s="67" t="s">
        <v>8</v>
      </c>
      <c r="D4" s="89" t="s">
        <v>9</v>
      </c>
      <c r="E4" s="90" t="s">
        <v>10</v>
      </c>
      <c r="F4" s="91"/>
      <c r="G4" s="91"/>
      <c r="H4" s="92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0.93333333333333335</v>
      </c>
      <c r="N6" s="13">
        <f>D6*M6</f>
        <v>46666.666666666664</v>
      </c>
      <c r="O6" s="13">
        <v>40.398003072196623</v>
      </c>
      <c r="P6" s="13">
        <v>2019900.1536098311</v>
      </c>
      <c r="Q6" s="13">
        <f>M6+O6</f>
        <v>41.331336405529953</v>
      </c>
      <c r="R6" s="16">
        <f>P6+N6</f>
        <v>2066566.8202764979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30.633333333333333</v>
      </c>
      <c r="N9" s="13">
        <f t="shared" si="0"/>
        <v>857733.33333333337</v>
      </c>
      <c r="O9" s="13">
        <v>727.74475204505097</v>
      </c>
      <c r="P9" s="13">
        <v>20376853.05726143</v>
      </c>
      <c r="Q9" s="13">
        <f t="shared" si="1"/>
        <v>758.3780853783843</v>
      </c>
      <c r="R9" s="16">
        <f t="shared" si="2"/>
        <v>21234586.390594762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2.5</v>
      </c>
      <c r="N10" s="13">
        <f t="shared" si="0"/>
        <v>47500</v>
      </c>
      <c r="O10" s="13">
        <v>51.575526728110603</v>
      </c>
      <c r="P10" s="13">
        <v>979935.00783410145</v>
      </c>
      <c r="Q10" s="13">
        <f t="shared" si="1"/>
        <v>54.075526728110603</v>
      </c>
      <c r="R10" s="16">
        <f t="shared" si="2"/>
        <v>1027435.0078341014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61.233333333333334</v>
      </c>
      <c r="N11" s="13">
        <f t="shared" si="0"/>
        <v>1285900</v>
      </c>
      <c r="O11" s="13">
        <v>1362.8136672468877</v>
      </c>
      <c r="P11" s="13">
        <v>28619087.012184639</v>
      </c>
      <c r="Q11" s="13">
        <f t="shared" si="1"/>
        <v>1424.047000580221</v>
      </c>
      <c r="R11" s="16">
        <f t="shared" si="2"/>
        <v>29904987.012184639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31.146633333333334</v>
      </c>
      <c r="P12" s="13">
        <v>591786.03333333333</v>
      </c>
      <c r="Q12" s="13">
        <f t="shared" si="1"/>
        <v>32.146633333333334</v>
      </c>
      <c r="R12" s="16">
        <f t="shared" si="2"/>
        <v>610786.03333333333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14.966666666666667</v>
      </c>
      <c r="N13" s="13">
        <f t="shared" si="0"/>
        <v>314300</v>
      </c>
      <c r="O13" s="13">
        <v>333.35914333439263</v>
      </c>
      <c r="P13" s="13">
        <v>7000542.0100222444</v>
      </c>
      <c r="Q13" s="13">
        <f t="shared" si="1"/>
        <v>348.32581000105927</v>
      </c>
      <c r="R13" s="16">
        <f t="shared" si="2"/>
        <v>7314842.0100222444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1</v>
      </c>
      <c r="N14" s="22">
        <f t="shared" si="0"/>
        <v>19000</v>
      </c>
      <c r="O14" s="22">
        <v>25.511720430107527</v>
      </c>
      <c r="P14" s="13">
        <v>484722.68817204295</v>
      </c>
      <c r="Q14" s="22">
        <f t="shared" si="1"/>
        <v>26.511720430107527</v>
      </c>
      <c r="R14" s="16">
        <f t="shared" si="2"/>
        <v>503722.68817204295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14.833333333333334</v>
      </c>
      <c r="N15" s="22">
        <f t="shared" si="0"/>
        <v>311500</v>
      </c>
      <c r="O15" s="22">
        <v>295.47318934562213</v>
      </c>
      <c r="P15" s="13">
        <v>6204936.9762580637</v>
      </c>
      <c r="Q15" s="22">
        <f t="shared" si="1"/>
        <v>310.30652267895545</v>
      </c>
      <c r="R15" s="16">
        <f t="shared" si="2"/>
        <v>6516436.9762580637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109.09944142083522</v>
      </c>
      <c r="P16" s="13">
        <v>1963789.945575034</v>
      </c>
      <c r="Q16" s="13">
        <f t="shared" si="1"/>
        <v>112.09944142083522</v>
      </c>
      <c r="R16" s="16">
        <f t="shared" si="2"/>
        <v>2017789.945575034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10.466666666666667</v>
      </c>
      <c r="N17" s="13">
        <f t="shared" si="0"/>
        <v>219800</v>
      </c>
      <c r="O17" s="13">
        <v>219.09967741935483</v>
      </c>
      <c r="P17" s="13">
        <v>4601093.2258064523</v>
      </c>
      <c r="Q17" s="13">
        <f t="shared" si="1"/>
        <v>229.5663440860215</v>
      </c>
      <c r="R17" s="16">
        <f t="shared" si="2"/>
        <v>4820893.2258064523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6</v>
      </c>
      <c r="N20" s="13">
        <f t="shared" si="0"/>
        <v>156000</v>
      </c>
      <c r="O20" s="13">
        <v>114.65570633763437</v>
      </c>
      <c r="P20" s="13">
        <v>2981048.3647784935</v>
      </c>
      <c r="Q20" s="13">
        <f t="shared" si="1"/>
        <v>120.65570633763437</v>
      </c>
      <c r="R20" s="16">
        <f t="shared" si="2"/>
        <v>3137048.3647784935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35.544076344086022</v>
      </c>
      <c r="P21" s="13">
        <v>675337.45053763431</v>
      </c>
      <c r="Q21" s="13">
        <f t="shared" si="1"/>
        <v>37.544076344086022</v>
      </c>
      <c r="R21" s="16">
        <f t="shared" si="2"/>
        <v>713337.45053763431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2</v>
      </c>
      <c r="N22" s="13">
        <f t="shared" si="0"/>
        <v>42000</v>
      </c>
      <c r="O22" s="13">
        <v>41.095161290322579</v>
      </c>
      <c r="P22" s="13">
        <v>862998.38709677418</v>
      </c>
      <c r="Q22" s="13">
        <f t="shared" si="1"/>
        <v>43.095161290322579</v>
      </c>
      <c r="R22" s="16">
        <f t="shared" si="2"/>
        <v>904998.38709677418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1">
        <v>4</v>
      </c>
      <c r="J26" s="14">
        <v>52.86</v>
      </c>
      <c r="K26" s="14"/>
      <c r="L26" s="13">
        <v>3171600</v>
      </c>
      <c r="M26" s="15">
        <v>6.7</v>
      </c>
      <c r="N26" s="13">
        <f t="shared" si="0"/>
        <v>100500</v>
      </c>
      <c r="O26" s="13">
        <v>192.67556384024579</v>
      </c>
      <c r="P26" s="13">
        <v>2890133.457603687</v>
      </c>
      <c r="Q26" s="13">
        <f t="shared" si="1"/>
        <v>199.37556384024577</v>
      </c>
      <c r="R26" s="16">
        <f t="shared" si="2"/>
        <v>2990633.457603687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1">
        <v>14</v>
      </c>
      <c r="J27" s="14">
        <v>52.86</v>
      </c>
      <c r="K27" s="14"/>
      <c r="L27" s="13">
        <v>12580680</v>
      </c>
      <c r="M27" s="15">
        <v>23.633333333333333</v>
      </c>
      <c r="N27" s="13">
        <f t="shared" si="0"/>
        <v>401766.66666666669</v>
      </c>
      <c r="O27" s="13">
        <v>437.47145642165901</v>
      </c>
      <c r="P27" s="13">
        <v>7437014.759168203</v>
      </c>
      <c r="Q27" s="13">
        <f t="shared" si="1"/>
        <v>461.10478975499234</v>
      </c>
      <c r="R27" s="16">
        <f t="shared" si="2"/>
        <v>7838781.42583487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1">
        <v>16</v>
      </c>
      <c r="J28" s="14">
        <v>52.86</v>
      </c>
      <c r="K28" s="14"/>
      <c r="L28" s="13">
        <v>10149120</v>
      </c>
      <c r="M28" s="15">
        <v>23.833333333333332</v>
      </c>
      <c r="N28" s="13">
        <f t="shared" si="0"/>
        <v>286000</v>
      </c>
      <c r="O28" s="13">
        <v>535.16259402843298</v>
      </c>
      <c r="P28" s="13">
        <v>6421951.1283411961</v>
      </c>
      <c r="Q28" s="13">
        <f t="shared" si="1"/>
        <v>558.99592736176635</v>
      </c>
      <c r="R28" s="16">
        <f t="shared" si="2"/>
        <v>6707951.1283411961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98.433333333333337</v>
      </c>
      <c r="N29" s="13">
        <f t="shared" si="0"/>
        <v>1181200</v>
      </c>
      <c r="O29" s="13">
        <v>1847.263094796328</v>
      </c>
      <c r="P29" s="13">
        <v>22167157.137555938</v>
      </c>
      <c r="Q29" s="13">
        <f t="shared" si="1"/>
        <v>1945.6964281296614</v>
      </c>
      <c r="R29" s="16">
        <f t="shared" si="2"/>
        <v>23348357.137555938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1">
        <v>4</v>
      </c>
      <c r="J30" s="14">
        <v>52.86</v>
      </c>
      <c r="K30" s="14"/>
      <c r="L30" s="13">
        <v>2325840</v>
      </c>
      <c r="M30" s="15">
        <v>3.8333333333333335</v>
      </c>
      <c r="N30" s="13">
        <f t="shared" si="0"/>
        <v>42166.666666666672</v>
      </c>
      <c r="O30" s="13">
        <v>103.07246178187404</v>
      </c>
      <c r="P30" s="13">
        <v>1133797.0796006143</v>
      </c>
      <c r="Q30" s="13">
        <f t="shared" si="1"/>
        <v>106.90579511520737</v>
      </c>
      <c r="R30" s="16">
        <f t="shared" si="2"/>
        <v>1175963.746267281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1">
        <v>50</v>
      </c>
      <c r="J31" s="14">
        <v>52.86</v>
      </c>
      <c r="K31" s="14"/>
      <c r="L31" s="13">
        <v>34359000</v>
      </c>
      <c r="M31" s="15">
        <v>86.333333333333329</v>
      </c>
      <c r="N31" s="13">
        <f t="shared" si="0"/>
        <v>1122333.3333333333</v>
      </c>
      <c r="O31" s="13">
        <v>1671.7829246705846</v>
      </c>
      <c r="P31" s="13">
        <v>21733178.020717602</v>
      </c>
      <c r="Q31" s="13">
        <f t="shared" si="1"/>
        <v>1758.1162580039179</v>
      </c>
      <c r="R31" s="16">
        <f t="shared" si="2"/>
        <v>22855511.354050934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1">
        <v>16</v>
      </c>
      <c r="J32" s="14">
        <v>52.86</v>
      </c>
      <c r="K32" s="14"/>
      <c r="L32" s="13">
        <v>9303360</v>
      </c>
      <c r="M32" s="15">
        <v>25.733333333333334</v>
      </c>
      <c r="N32" s="13">
        <f t="shared" si="0"/>
        <v>283066.66666666669</v>
      </c>
      <c r="O32" s="13">
        <v>541.4044671016527</v>
      </c>
      <c r="P32" s="13">
        <v>5955449.1381181795</v>
      </c>
      <c r="Q32" s="13">
        <f t="shared" si="1"/>
        <v>567.13780043498605</v>
      </c>
      <c r="R32" s="16">
        <f t="shared" si="2"/>
        <v>6238515.8047848465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1">
        <v>26</v>
      </c>
      <c r="J33" s="14">
        <v>52.86</v>
      </c>
      <c r="K33" s="14"/>
      <c r="L33" s="13">
        <v>16492319.999999998</v>
      </c>
      <c r="M33" s="15">
        <v>34.866666666666667</v>
      </c>
      <c r="N33" s="13">
        <f t="shared" si="0"/>
        <v>418400</v>
      </c>
      <c r="O33" s="13">
        <v>552.37462459093911</v>
      </c>
      <c r="P33" s="13">
        <v>6628495.4950912688</v>
      </c>
      <c r="Q33" s="13">
        <f t="shared" si="1"/>
        <v>587.24129125760578</v>
      </c>
      <c r="R33" s="16">
        <f t="shared" si="2"/>
        <v>7046895.4950912688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25.533333333333335</v>
      </c>
      <c r="N34" s="13">
        <f t="shared" si="0"/>
        <v>255333.33333333334</v>
      </c>
      <c r="O34" s="13">
        <v>545.18363940593724</v>
      </c>
      <c r="P34" s="13">
        <v>5451836.394059374</v>
      </c>
      <c r="Q34" s="13">
        <f t="shared" si="1"/>
        <v>570.71697273927055</v>
      </c>
      <c r="R34" s="16">
        <f t="shared" si="2"/>
        <v>5707169.727392707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14.2</v>
      </c>
      <c r="N35" s="28">
        <f t="shared" si="0"/>
        <v>142000</v>
      </c>
      <c r="O35" s="28">
        <v>333.46436098310295</v>
      </c>
      <c r="P35" s="13">
        <v>3334643.60983103</v>
      </c>
      <c r="Q35" s="28">
        <f t="shared" si="1"/>
        <v>347.66436098310294</v>
      </c>
      <c r="R35" s="31">
        <f t="shared" si="2"/>
        <v>3476643.60983103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48"/>
      <c r="I36" s="32">
        <f>SUM(I6:I35)</f>
        <v>357.90767877412031</v>
      </c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7644166.666666666</v>
      </c>
      <c r="O36" s="34"/>
      <c r="P36" s="34">
        <f>SUM(P6:P35)</f>
        <v>160515686.53255716</v>
      </c>
      <c r="Q36" s="34"/>
      <c r="R36" s="36">
        <f>SUM(R6:R35)</f>
        <v>168159853.19922382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1146624.9999999998</v>
      </c>
      <c r="O37" s="40"/>
      <c r="P37" s="40">
        <f>P36*0.15</f>
        <v>24077352.979883574</v>
      </c>
      <c r="Q37" s="40"/>
      <c r="R37" s="41">
        <f>R36*0.15</f>
        <v>25223977.97988357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8790791.666666666</v>
      </c>
      <c r="O38" s="40"/>
      <c r="P38" s="40">
        <f>P36+P37</f>
        <v>184593039.51244074</v>
      </c>
      <c r="Q38" s="40"/>
      <c r="R38" s="41">
        <f>R36+R37</f>
        <v>193383831.1791074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2.5053643228693641E-2</v>
      </c>
      <c r="O39" s="43"/>
      <c r="P39" s="44">
        <v>0.23952879231692664</v>
      </c>
      <c r="Q39" s="43"/>
      <c r="R39" s="45">
        <f>R36/L36</f>
        <v>0.55114143256638182</v>
      </c>
      <c r="S39" s="7"/>
    </row>
  </sheetData>
  <mergeCells count="21"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  <mergeCell ref="C3:N3"/>
    <mergeCell ref="O3:P3"/>
    <mergeCell ref="Q3:R3"/>
    <mergeCell ref="D1:N1"/>
    <mergeCell ref="O1:R1"/>
    <mergeCell ref="D2:N2"/>
    <mergeCell ref="O2:P2"/>
    <mergeCell ref="Q2:R2"/>
  </mergeCells>
  <printOptions horizontalCentered="1"/>
  <pageMargins left="0.7" right="0.7" top="0.75" bottom="0.75" header="0.3" footer="0.3"/>
  <pageSetup paperSize="9" scale="3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305C-2648-4374-8A22-CB0B6FC8392A}">
  <sheetPr>
    <pageSetUpPr fitToPage="1"/>
  </sheetPr>
  <dimension ref="A1:Y39"/>
  <sheetViews>
    <sheetView rightToLeft="1" view="pageBreakPreview" topLeftCell="A4" zoomScale="50" zoomScaleNormal="40" zoomScaleSheetLayoutView="50" workbookViewId="0">
      <selection activeCell="B6" sqref="B6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5" width="16.09765625" style="1" bestFit="1" customWidth="1"/>
    <col min="6" max="6" width="8.5" style="1" bestFit="1" customWidth="1"/>
    <col min="7" max="7" width="17.296875" style="1" hidden="1" customWidth="1"/>
    <col min="8" max="8" width="25.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2"/>
      <c r="F1" s="2"/>
      <c r="G1" s="2"/>
      <c r="H1" s="2"/>
      <c r="I1" s="96" t="s">
        <v>63</v>
      </c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I2" s="96" t="s">
        <v>64</v>
      </c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35.4" customHeight="1" x14ac:dyDescent="0.25">
      <c r="A4" s="66" t="s">
        <v>6</v>
      </c>
      <c r="B4" s="67" t="s">
        <v>7</v>
      </c>
      <c r="C4" s="67" t="s">
        <v>8</v>
      </c>
      <c r="D4" s="89" t="s">
        <v>9</v>
      </c>
      <c r="E4" s="49" t="s">
        <v>10</v>
      </c>
      <c r="F4" s="49"/>
      <c r="G4" s="49"/>
      <c r="H4" s="49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0.74193548387096775</v>
      </c>
      <c r="N6" s="13">
        <f>D6*M6</f>
        <v>37096.774193548386</v>
      </c>
      <c r="O6" s="13">
        <v>39.656067588325655</v>
      </c>
      <c r="P6" s="13">
        <v>1982803.3794162828</v>
      </c>
      <c r="Q6" s="13">
        <f>M6+O6</f>
        <v>40.398003072196623</v>
      </c>
      <c r="R6" s="16">
        <f>P6+N6</f>
        <v>2019900.1536098311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31.35483870967742</v>
      </c>
      <c r="N9" s="13">
        <f t="shared" si="0"/>
        <v>877935.48387096776</v>
      </c>
      <c r="O9" s="13">
        <v>696.38991333537354</v>
      </c>
      <c r="P9" s="13">
        <v>19498917.573390462</v>
      </c>
      <c r="Q9" s="13">
        <f t="shared" si="1"/>
        <v>727.74475204505097</v>
      </c>
      <c r="R9" s="16">
        <f t="shared" si="2"/>
        <v>20376853.05726143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2.870967741935484</v>
      </c>
      <c r="N10" s="13">
        <f t="shared" si="0"/>
        <v>54548.387096774197</v>
      </c>
      <c r="O10" s="13">
        <v>48.704558986175115</v>
      </c>
      <c r="P10" s="13">
        <v>925386.62073732726</v>
      </c>
      <c r="Q10" s="13">
        <f t="shared" si="1"/>
        <v>51.575526728110603</v>
      </c>
      <c r="R10" s="16">
        <f t="shared" si="2"/>
        <v>979935.00783410145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60.87096774193548</v>
      </c>
      <c r="N11" s="13">
        <f t="shared" si="0"/>
        <v>1278290.3225806451</v>
      </c>
      <c r="O11" s="13">
        <v>1301.9426995049523</v>
      </c>
      <c r="P11" s="13">
        <v>27340796.689603992</v>
      </c>
      <c r="Q11" s="13">
        <f t="shared" si="1"/>
        <v>1362.8136672468877</v>
      </c>
      <c r="R11" s="16">
        <f t="shared" si="2"/>
        <v>28619087.012184639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30.146633333333334</v>
      </c>
      <c r="P12" s="13">
        <v>572786.03333333333</v>
      </c>
      <c r="Q12" s="13">
        <f t="shared" si="1"/>
        <v>31.146633333333334</v>
      </c>
      <c r="R12" s="16">
        <f t="shared" si="2"/>
        <v>591786.03333333333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14.225806451612904</v>
      </c>
      <c r="N13" s="13">
        <f t="shared" si="0"/>
        <v>298741.93548387097</v>
      </c>
      <c r="O13" s="13">
        <v>319.1333368827797</v>
      </c>
      <c r="P13" s="13">
        <v>6701800.0745383734</v>
      </c>
      <c r="Q13" s="13">
        <f t="shared" si="1"/>
        <v>333.35914333439263</v>
      </c>
      <c r="R13" s="16">
        <f t="shared" si="2"/>
        <v>7000542.0100222444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0.87096774193548387</v>
      </c>
      <c r="N14" s="22">
        <f t="shared" si="0"/>
        <v>16548.387096774193</v>
      </c>
      <c r="O14" s="22">
        <v>24.640752688172043</v>
      </c>
      <c r="P14" s="13">
        <v>468174.30107526877</v>
      </c>
      <c r="Q14" s="22">
        <f t="shared" si="1"/>
        <v>25.511720430107527</v>
      </c>
      <c r="R14" s="16">
        <f t="shared" si="2"/>
        <v>484722.68817204295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15.67741935483871</v>
      </c>
      <c r="N15" s="22">
        <f t="shared" si="0"/>
        <v>329225.80645161291</v>
      </c>
      <c r="O15" s="22">
        <v>279.79576999078341</v>
      </c>
      <c r="P15" s="13">
        <v>5875711.1698064506</v>
      </c>
      <c r="Q15" s="22">
        <f t="shared" si="1"/>
        <v>295.47318934562213</v>
      </c>
      <c r="R15" s="16">
        <f t="shared" si="2"/>
        <v>6204936.9762580637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106.09944142083522</v>
      </c>
      <c r="P16" s="13">
        <v>1909789.945575034</v>
      </c>
      <c r="Q16" s="13">
        <f t="shared" si="1"/>
        <v>109.09944142083522</v>
      </c>
      <c r="R16" s="16">
        <f t="shared" si="2"/>
        <v>1963789.945575034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10.903225806451612</v>
      </c>
      <c r="N17" s="13">
        <f t="shared" si="0"/>
        <v>228967.74193548385</v>
      </c>
      <c r="O17" s="13">
        <v>208.19645161290322</v>
      </c>
      <c r="P17" s="13">
        <v>4372125.4838709682</v>
      </c>
      <c r="Q17" s="13">
        <f t="shared" si="1"/>
        <v>219.09967741935483</v>
      </c>
      <c r="R17" s="16">
        <f t="shared" si="2"/>
        <v>4601093.2258064523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6</v>
      </c>
      <c r="N20" s="13">
        <f t="shared" si="0"/>
        <v>156000</v>
      </c>
      <c r="O20" s="13">
        <v>108.65570633763437</v>
      </c>
      <c r="P20" s="13">
        <v>2825048.3647784935</v>
      </c>
      <c r="Q20" s="13">
        <f t="shared" si="1"/>
        <v>114.65570633763437</v>
      </c>
      <c r="R20" s="16">
        <f t="shared" si="2"/>
        <v>2981048.3647784935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33.544076344086022</v>
      </c>
      <c r="P21" s="13">
        <v>637337.45053763431</v>
      </c>
      <c r="Q21" s="13">
        <f t="shared" si="1"/>
        <v>35.544076344086022</v>
      </c>
      <c r="R21" s="16">
        <f t="shared" si="2"/>
        <v>675337.45053763431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2</v>
      </c>
      <c r="N22" s="13">
        <f t="shared" si="0"/>
        <v>42000</v>
      </c>
      <c r="O22" s="13">
        <v>39.095161290322579</v>
      </c>
      <c r="P22" s="13">
        <v>820998.38709677418</v>
      </c>
      <c r="Q22" s="13">
        <f t="shared" si="1"/>
        <v>41.095161290322579</v>
      </c>
      <c r="R22" s="16">
        <f t="shared" si="2"/>
        <v>862998.38709677418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1">
        <v>4</v>
      </c>
      <c r="J26" s="14">
        <v>52.86</v>
      </c>
      <c r="K26" s="14"/>
      <c r="L26" s="13">
        <v>3171600</v>
      </c>
      <c r="M26" s="15">
        <v>6.935483870967742</v>
      </c>
      <c r="N26" s="13">
        <f t="shared" si="0"/>
        <v>104032.25806451614</v>
      </c>
      <c r="O26" s="13">
        <v>185.74007996927804</v>
      </c>
      <c r="P26" s="13">
        <v>2786101.1995391706</v>
      </c>
      <c r="Q26" s="13">
        <f t="shared" si="1"/>
        <v>192.67556384024579</v>
      </c>
      <c r="R26" s="16">
        <f t="shared" si="2"/>
        <v>2890133.457603687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1">
        <v>14</v>
      </c>
      <c r="J27" s="14">
        <v>52.86</v>
      </c>
      <c r="K27" s="14"/>
      <c r="L27" s="13">
        <v>12580680</v>
      </c>
      <c r="M27" s="15">
        <v>24.258064516129032</v>
      </c>
      <c r="N27" s="13">
        <f t="shared" si="0"/>
        <v>412387.09677419352</v>
      </c>
      <c r="O27" s="13">
        <v>413.21339190552999</v>
      </c>
      <c r="P27" s="13">
        <v>7024627.6623940095</v>
      </c>
      <c r="Q27" s="13">
        <f t="shared" si="1"/>
        <v>437.47145642165901</v>
      </c>
      <c r="R27" s="16">
        <f t="shared" si="2"/>
        <v>7437014.759168203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1">
        <v>16</v>
      </c>
      <c r="J28" s="14">
        <v>52.86</v>
      </c>
      <c r="K28" s="14"/>
      <c r="L28" s="13">
        <v>10149120</v>
      </c>
      <c r="M28" s="15">
        <v>23.161290322580644</v>
      </c>
      <c r="N28" s="13">
        <f t="shared" si="0"/>
        <v>277935.48387096776</v>
      </c>
      <c r="O28" s="13">
        <v>512.00130370585237</v>
      </c>
      <c r="P28" s="13">
        <v>6144015.6444702288</v>
      </c>
      <c r="Q28" s="13">
        <f t="shared" si="1"/>
        <v>535.16259402843298</v>
      </c>
      <c r="R28" s="16">
        <f t="shared" si="2"/>
        <v>6421951.1283411961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95.290322580645167</v>
      </c>
      <c r="N29" s="13">
        <f t="shared" si="0"/>
        <v>1143483.8709677421</v>
      </c>
      <c r="O29" s="13">
        <v>1751.9727722156829</v>
      </c>
      <c r="P29" s="13">
        <v>21023673.266588196</v>
      </c>
      <c r="Q29" s="13">
        <f t="shared" si="1"/>
        <v>1847.263094796328</v>
      </c>
      <c r="R29" s="16">
        <f t="shared" si="2"/>
        <v>22167157.137555938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1">
        <v>4</v>
      </c>
      <c r="J30" s="14">
        <v>52.86</v>
      </c>
      <c r="K30" s="14"/>
      <c r="L30" s="13">
        <v>2325840</v>
      </c>
      <c r="M30" s="15">
        <v>4</v>
      </c>
      <c r="N30" s="13">
        <f t="shared" si="0"/>
        <v>44000</v>
      </c>
      <c r="O30" s="13">
        <v>99.07246178187404</v>
      </c>
      <c r="P30" s="13">
        <v>1089797.0796006143</v>
      </c>
      <c r="Q30" s="13">
        <f t="shared" si="1"/>
        <v>103.07246178187404</v>
      </c>
      <c r="R30" s="16">
        <f t="shared" si="2"/>
        <v>1133797.0796006143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1">
        <v>50</v>
      </c>
      <c r="J31" s="14">
        <v>52.86</v>
      </c>
      <c r="K31" s="14"/>
      <c r="L31" s="13">
        <v>34359000</v>
      </c>
      <c r="M31" s="15">
        <v>85.935483870967744</v>
      </c>
      <c r="N31" s="13">
        <f t="shared" si="0"/>
        <v>1117161.2903225806</v>
      </c>
      <c r="O31" s="13">
        <v>1585.8474407996168</v>
      </c>
      <c r="P31" s="13">
        <v>20616016.730395023</v>
      </c>
      <c r="Q31" s="13">
        <f t="shared" si="1"/>
        <v>1671.7829246705846</v>
      </c>
      <c r="R31" s="16">
        <f t="shared" si="2"/>
        <v>21733178.020717602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1">
        <v>16</v>
      </c>
      <c r="J32" s="14">
        <v>52.86</v>
      </c>
      <c r="K32" s="14"/>
      <c r="L32" s="13">
        <v>9303360</v>
      </c>
      <c r="M32" s="15">
        <v>26.193548387096776</v>
      </c>
      <c r="N32" s="13">
        <f t="shared" si="0"/>
        <v>288129.03225806454</v>
      </c>
      <c r="O32" s="13">
        <v>515.21091871455587</v>
      </c>
      <c r="P32" s="13">
        <v>5667320.105860115</v>
      </c>
      <c r="Q32" s="13">
        <f t="shared" si="1"/>
        <v>541.4044671016527</v>
      </c>
      <c r="R32" s="16">
        <f t="shared" si="2"/>
        <v>5955449.1381181795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1">
        <v>26</v>
      </c>
      <c r="J33" s="14">
        <v>52.86</v>
      </c>
      <c r="K33" s="14"/>
      <c r="L33" s="13">
        <v>16492319.999999998</v>
      </c>
      <c r="M33" s="15">
        <v>34.161290322580648</v>
      </c>
      <c r="N33" s="13">
        <f t="shared" si="0"/>
        <v>409935.48387096776</v>
      </c>
      <c r="O33" s="13">
        <v>518.21333426835849</v>
      </c>
      <c r="P33" s="13">
        <v>6218560.0112203015</v>
      </c>
      <c r="Q33" s="13">
        <f t="shared" si="1"/>
        <v>552.37462459093911</v>
      </c>
      <c r="R33" s="16">
        <f t="shared" si="2"/>
        <v>6628495.4950912688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25.64516129032258</v>
      </c>
      <c r="N34" s="13">
        <f t="shared" si="0"/>
        <v>256451.61290322579</v>
      </c>
      <c r="O34" s="13">
        <v>519.53847811561468</v>
      </c>
      <c r="P34" s="13">
        <v>5195384.7811561478</v>
      </c>
      <c r="Q34" s="13">
        <f t="shared" si="1"/>
        <v>545.18363940593724</v>
      </c>
      <c r="R34" s="16">
        <f t="shared" si="2"/>
        <v>5451836.394059374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13.96774193548387</v>
      </c>
      <c r="N35" s="28">
        <f t="shared" si="0"/>
        <v>139677.4193548387</v>
      </c>
      <c r="O35" s="28">
        <v>319.49661904761911</v>
      </c>
      <c r="P35" s="13">
        <v>3194966.1904761912</v>
      </c>
      <c r="Q35" s="28">
        <f t="shared" si="1"/>
        <v>333.46436098310295</v>
      </c>
      <c r="R35" s="31">
        <f t="shared" si="2"/>
        <v>3334643.60983103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54">
        <f>SUM(H6:H35)</f>
        <v>126000000</v>
      </c>
      <c r="I36" s="32"/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7623548.3870967748</v>
      </c>
      <c r="O36" s="34"/>
      <c r="P36" s="34">
        <f>SUM(P6:P35)</f>
        <v>152892138.1454604</v>
      </c>
      <c r="Q36" s="34"/>
      <c r="R36" s="36">
        <f>SUM(R6:R35)</f>
        <v>160515686.53255716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1143532.2580645161</v>
      </c>
      <c r="O37" s="40"/>
      <c r="P37" s="40">
        <f>P36*0.15</f>
        <v>22933820.721819058</v>
      </c>
      <c r="Q37" s="40"/>
      <c r="R37" s="41">
        <f>R36*0.15</f>
        <v>24077352.979883574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8767080.6451612916</v>
      </c>
      <c r="O38" s="40"/>
      <c r="P38" s="40">
        <f>P36+P37</f>
        <v>175825958.86727947</v>
      </c>
      <c r="Q38" s="40"/>
      <c r="R38" s="41">
        <f>R36+R37</f>
        <v>184593039.51244074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2.4986067122250794E-2</v>
      </c>
      <c r="O39" s="43"/>
      <c r="P39" s="44">
        <v>0.23952879231692664</v>
      </c>
      <c r="Q39" s="43"/>
      <c r="R39" s="45">
        <f>R36/L36</f>
        <v>0.52608778933768829</v>
      </c>
      <c r="S39" s="7"/>
    </row>
  </sheetData>
  <mergeCells count="20">
    <mergeCell ref="O4:P4"/>
    <mergeCell ref="Q4:R4"/>
    <mergeCell ref="A36:D36"/>
    <mergeCell ref="A37:K37"/>
    <mergeCell ref="A38:K38"/>
    <mergeCell ref="M4:N4"/>
    <mergeCell ref="A39:K39"/>
    <mergeCell ref="A4:A5"/>
    <mergeCell ref="B4:B5"/>
    <mergeCell ref="C4:C5"/>
    <mergeCell ref="D4:D5"/>
    <mergeCell ref="I4:L4"/>
    <mergeCell ref="C3:N3"/>
    <mergeCell ref="O3:P3"/>
    <mergeCell ref="Q3:R3"/>
    <mergeCell ref="I1:N1"/>
    <mergeCell ref="O1:R1"/>
    <mergeCell ref="I2:N2"/>
    <mergeCell ref="O2:P2"/>
    <mergeCell ref="Q2:R2"/>
  </mergeCells>
  <printOptions horizontalCentered="1"/>
  <pageMargins left="0.7" right="0.7" top="0.75" bottom="0.75" header="0.3" footer="0.3"/>
  <pageSetup paperSize="9" scale="3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24F4-1411-41FF-9542-FA589E8872A6}">
  <sheetPr>
    <pageSetUpPr fitToPage="1"/>
  </sheetPr>
  <dimension ref="A1:Y39"/>
  <sheetViews>
    <sheetView rightToLeft="1" view="pageBreakPreview" zoomScale="40" zoomScaleNormal="40" zoomScaleSheetLayoutView="40" workbookViewId="0">
      <selection activeCell="I36" sqref="I36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7" width="17.296875" style="1" customWidth="1"/>
    <col min="8" max="8" width="25.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2"/>
      <c r="F1" s="2"/>
      <c r="G1" s="2"/>
      <c r="H1" s="2"/>
      <c r="I1" s="96" t="s">
        <v>61</v>
      </c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I2" s="96" t="s">
        <v>62</v>
      </c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35.4" x14ac:dyDescent="0.25">
      <c r="A4" s="66" t="s">
        <v>6</v>
      </c>
      <c r="B4" s="67" t="s">
        <v>7</v>
      </c>
      <c r="C4" s="67" t="s">
        <v>8</v>
      </c>
      <c r="D4" s="89" t="s">
        <v>9</v>
      </c>
      <c r="E4" s="90" t="s">
        <v>10</v>
      </c>
      <c r="F4" s="91"/>
      <c r="G4" s="91"/>
      <c r="H4" s="92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0.8571428571428571</v>
      </c>
      <c r="N6" s="13">
        <f>D6*M6</f>
        <v>42857.142857142855</v>
      </c>
      <c r="O6" s="13">
        <v>38.798924731182801</v>
      </c>
      <c r="P6" s="13">
        <v>1939946.2365591398</v>
      </c>
      <c r="Q6" s="13">
        <f>M6+O6</f>
        <v>39.656067588325655</v>
      </c>
      <c r="R6" s="16">
        <f>P6+N6</f>
        <v>1982803.3794162828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31.571428571428573</v>
      </c>
      <c r="N9" s="13">
        <f t="shared" si="0"/>
        <v>884000</v>
      </c>
      <c r="O9" s="13">
        <v>664.81848476394498</v>
      </c>
      <c r="P9" s="13">
        <v>18614917.573390462</v>
      </c>
      <c r="Q9" s="13">
        <f t="shared" si="1"/>
        <v>696.38991333537354</v>
      </c>
      <c r="R9" s="16">
        <f t="shared" si="2"/>
        <v>19498917.573390462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2.8571428571428572</v>
      </c>
      <c r="N10" s="13">
        <f t="shared" si="0"/>
        <v>54285.71428571429</v>
      </c>
      <c r="O10" s="13">
        <v>45.847416129032261</v>
      </c>
      <c r="P10" s="13">
        <v>871100.90645161294</v>
      </c>
      <c r="Q10" s="13">
        <f t="shared" si="1"/>
        <v>48.704558986175115</v>
      </c>
      <c r="R10" s="16">
        <f t="shared" si="2"/>
        <v>925386.62073732726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62.392857142857146</v>
      </c>
      <c r="N11" s="13">
        <f t="shared" si="0"/>
        <v>1310250</v>
      </c>
      <c r="O11" s="13">
        <v>1239.5498423620952</v>
      </c>
      <c r="P11" s="13">
        <v>26030546.689603992</v>
      </c>
      <c r="Q11" s="13">
        <f t="shared" si="1"/>
        <v>1301.9426995049523</v>
      </c>
      <c r="R11" s="16">
        <f t="shared" si="2"/>
        <v>27340796.689603992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29.146633333333334</v>
      </c>
      <c r="P12" s="13">
        <v>553786.03333333333</v>
      </c>
      <c r="Q12" s="13">
        <f t="shared" si="1"/>
        <v>30.146633333333334</v>
      </c>
      <c r="R12" s="16">
        <f t="shared" si="2"/>
        <v>572786.03333333333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14.607142857142858</v>
      </c>
      <c r="N13" s="13">
        <f t="shared" si="0"/>
        <v>306750</v>
      </c>
      <c r="O13" s="13">
        <v>304.52619402563687</v>
      </c>
      <c r="P13" s="13">
        <v>6395050.0745383734</v>
      </c>
      <c r="Q13" s="13">
        <f t="shared" si="1"/>
        <v>319.1333368827797</v>
      </c>
      <c r="R13" s="16">
        <f t="shared" si="2"/>
        <v>6701800.0745383734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1</v>
      </c>
      <c r="N14" s="22">
        <f t="shared" si="0"/>
        <v>19000</v>
      </c>
      <c r="O14" s="22">
        <v>23.640752688172043</v>
      </c>
      <c r="P14" s="13">
        <v>449174.30107526877</v>
      </c>
      <c r="Q14" s="22">
        <f t="shared" si="1"/>
        <v>24.640752688172043</v>
      </c>
      <c r="R14" s="16">
        <f t="shared" si="2"/>
        <v>468174.30107526877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15.857142857142858</v>
      </c>
      <c r="N15" s="22">
        <f t="shared" si="0"/>
        <v>333000</v>
      </c>
      <c r="O15" s="22">
        <v>263.93862713364058</v>
      </c>
      <c r="P15" s="13">
        <v>5542711.1698064506</v>
      </c>
      <c r="Q15" s="22">
        <f t="shared" si="1"/>
        <v>279.79576999078341</v>
      </c>
      <c r="R15" s="16">
        <f t="shared" si="2"/>
        <v>5875711.1698064506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103.09944142083522</v>
      </c>
      <c r="P16" s="13">
        <v>1855789.945575034</v>
      </c>
      <c r="Q16" s="13">
        <f t="shared" si="1"/>
        <v>106.09944142083522</v>
      </c>
      <c r="R16" s="16">
        <f t="shared" si="2"/>
        <v>1909789.945575034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10.392857142857142</v>
      </c>
      <c r="N17" s="13">
        <f t="shared" si="0"/>
        <v>218250</v>
      </c>
      <c r="O17" s="13">
        <v>197.80359447004608</v>
      </c>
      <c r="P17" s="13">
        <v>4153875.4838709682</v>
      </c>
      <c r="Q17" s="13">
        <f t="shared" si="1"/>
        <v>208.19645161290322</v>
      </c>
      <c r="R17" s="16">
        <f t="shared" si="2"/>
        <v>4372125.4838709682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6</v>
      </c>
      <c r="N20" s="13">
        <f t="shared" si="0"/>
        <v>156000</v>
      </c>
      <c r="O20" s="13">
        <v>102.65570633763437</v>
      </c>
      <c r="P20" s="13">
        <v>2669048.3647784935</v>
      </c>
      <c r="Q20" s="13">
        <f t="shared" si="1"/>
        <v>108.65570633763437</v>
      </c>
      <c r="R20" s="16">
        <f t="shared" si="2"/>
        <v>2825048.3647784935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31.544076344086022</v>
      </c>
      <c r="P21" s="13">
        <v>599337.45053763431</v>
      </c>
      <c r="Q21" s="13">
        <f t="shared" si="1"/>
        <v>33.544076344086022</v>
      </c>
      <c r="R21" s="16">
        <f t="shared" si="2"/>
        <v>637337.45053763431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2</v>
      </c>
      <c r="N22" s="13">
        <f t="shared" si="0"/>
        <v>42000</v>
      </c>
      <c r="O22" s="13">
        <v>37.095161290322579</v>
      </c>
      <c r="P22" s="13">
        <v>778998.38709677418</v>
      </c>
      <c r="Q22" s="13">
        <f t="shared" si="1"/>
        <v>39.095161290322579</v>
      </c>
      <c r="R22" s="16">
        <f t="shared" si="2"/>
        <v>820998.38709677418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1">
        <v>4</v>
      </c>
      <c r="J26" s="14">
        <v>52.86</v>
      </c>
      <c r="K26" s="14"/>
      <c r="L26" s="13">
        <v>3171600</v>
      </c>
      <c r="M26" s="15">
        <v>7.8214285714285712</v>
      </c>
      <c r="N26" s="13">
        <f t="shared" si="0"/>
        <v>117321.42857142857</v>
      </c>
      <c r="O26" s="13">
        <v>177.91865139784946</v>
      </c>
      <c r="P26" s="13">
        <v>2668779.770967742</v>
      </c>
      <c r="Q26" s="13">
        <f t="shared" si="1"/>
        <v>185.74007996927804</v>
      </c>
      <c r="R26" s="16">
        <f t="shared" si="2"/>
        <v>2786101.1995391706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1">
        <v>14</v>
      </c>
      <c r="J27" s="14">
        <v>52.86</v>
      </c>
      <c r="K27" s="14"/>
      <c r="L27" s="13">
        <v>12580680</v>
      </c>
      <c r="M27" s="15">
        <v>24.964285714285715</v>
      </c>
      <c r="N27" s="13">
        <f t="shared" si="0"/>
        <v>424392.85714285716</v>
      </c>
      <c r="O27" s="13">
        <v>388.24910619124427</v>
      </c>
      <c r="P27" s="13">
        <v>6600234.8052511523</v>
      </c>
      <c r="Q27" s="13">
        <f t="shared" si="1"/>
        <v>413.21339190552999</v>
      </c>
      <c r="R27" s="16">
        <f t="shared" si="2"/>
        <v>7024627.6623940095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1">
        <v>16</v>
      </c>
      <c r="J28" s="14">
        <v>52.86</v>
      </c>
      <c r="K28" s="14"/>
      <c r="L28" s="13">
        <v>10149120</v>
      </c>
      <c r="M28" s="15">
        <v>23.107142857142858</v>
      </c>
      <c r="N28" s="13">
        <f t="shared" si="0"/>
        <v>277285.71428571432</v>
      </c>
      <c r="O28" s="13">
        <v>488.89416084870953</v>
      </c>
      <c r="P28" s="13">
        <v>5866729.9301845143</v>
      </c>
      <c r="Q28" s="13">
        <f t="shared" si="1"/>
        <v>512.00130370585237</v>
      </c>
      <c r="R28" s="16">
        <f t="shared" si="2"/>
        <v>6144015.6444702288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99</v>
      </c>
      <c r="N29" s="13">
        <f t="shared" si="0"/>
        <v>1188000</v>
      </c>
      <c r="O29" s="13">
        <v>1652.9727722156829</v>
      </c>
      <c r="P29" s="13">
        <v>19835673.266588196</v>
      </c>
      <c r="Q29" s="13">
        <f t="shared" si="1"/>
        <v>1751.9727722156829</v>
      </c>
      <c r="R29" s="16">
        <f t="shared" si="2"/>
        <v>21023673.266588196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1">
        <v>4</v>
      </c>
      <c r="J30" s="14">
        <v>52.86</v>
      </c>
      <c r="K30" s="14"/>
      <c r="L30" s="13">
        <v>2325840</v>
      </c>
      <c r="M30" s="15">
        <v>3.7857142857142856</v>
      </c>
      <c r="N30" s="13">
        <f t="shared" si="0"/>
        <v>41642.857142857145</v>
      </c>
      <c r="O30" s="13">
        <v>95.286747496159748</v>
      </c>
      <c r="P30" s="13">
        <v>1048154.2224577572</v>
      </c>
      <c r="Q30" s="13">
        <f t="shared" si="1"/>
        <v>99.07246178187404</v>
      </c>
      <c r="R30" s="16">
        <f t="shared" si="2"/>
        <v>1089797.0796006143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1">
        <v>50</v>
      </c>
      <c r="J31" s="14">
        <v>52.86</v>
      </c>
      <c r="K31" s="14"/>
      <c r="L31" s="13">
        <v>34359000</v>
      </c>
      <c r="M31" s="15">
        <v>87.678571428571431</v>
      </c>
      <c r="N31" s="13">
        <f t="shared" si="0"/>
        <v>1139821.4285714286</v>
      </c>
      <c r="O31" s="13">
        <v>1498.1688693710455</v>
      </c>
      <c r="P31" s="13">
        <v>19476195.301823594</v>
      </c>
      <c r="Q31" s="13">
        <f t="shared" si="1"/>
        <v>1585.8474407996168</v>
      </c>
      <c r="R31" s="16">
        <f t="shared" si="2"/>
        <v>20616016.730395023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1">
        <v>16</v>
      </c>
      <c r="J32" s="14">
        <v>52.86</v>
      </c>
      <c r="K32" s="14"/>
      <c r="L32" s="13">
        <v>9303360</v>
      </c>
      <c r="M32" s="15">
        <v>26.107142857142858</v>
      </c>
      <c r="N32" s="13">
        <f t="shared" si="0"/>
        <v>287178.57142857142</v>
      </c>
      <c r="O32" s="13">
        <v>489.10377585741304</v>
      </c>
      <c r="P32" s="13">
        <v>5380141.5344315432</v>
      </c>
      <c r="Q32" s="13">
        <f t="shared" si="1"/>
        <v>515.21091871455587</v>
      </c>
      <c r="R32" s="16">
        <f t="shared" si="2"/>
        <v>5667320.105860115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1">
        <v>26</v>
      </c>
      <c r="J33" s="14">
        <v>52.86</v>
      </c>
      <c r="K33" s="14"/>
      <c r="L33" s="13">
        <v>16492319.999999998</v>
      </c>
      <c r="M33" s="15">
        <v>35</v>
      </c>
      <c r="N33" s="13">
        <f t="shared" si="0"/>
        <v>420000</v>
      </c>
      <c r="O33" s="13">
        <v>483.21333426835849</v>
      </c>
      <c r="P33" s="13">
        <v>5798560.0112203015</v>
      </c>
      <c r="Q33" s="13">
        <f t="shared" si="1"/>
        <v>518.21333426835849</v>
      </c>
      <c r="R33" s="16">
        <f t="shared" si="2"/>
        <v>6218560.0112203015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25.214285714285715</v>
      </c>
      <c r="N34" s="13">
        <f t="shared" si="0"/>
        <v>252142.85714285716</v>
      </c>
      <c r="O34" s="13">
        <v>494.32419240132901</v>
      </c>
      <c r="P34" s="13">
        <v>4943241.9240132906</v>
      </c>
      <c r="Q34" s="13">
        <f t="shared" si="1"/>
        <v>519.53847811561468</v>
      </c>
      <c r="R34" s="16">
        <f t="shared" si="2"/>
        <v>5195384.7811561478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15.464285714285714</v>
      </c>
      <c r="N35" s="28">
        <f t="shared" si="0"/>
        <v>154642.85714285713</v>
      </c>
      <c r="O35" s="28">
        <v>304.03233333333338</v>
      </c>
      <c r="P35" s="13">
        <v>3040323.333333334</v>
      </c>
      <c r="Q35" s="28">
        <f t="shared" si="1"/>
        <v>319.49661904761911</v>
      </c>
      <c r="R35" s="31">
        <f t="shared" si="2"/>
        <v>3194966.1904761912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54">
        <f>SUM(H6:H35)</f>
        <v>126000000</v>
      </c>
      <c r="I36" s="32"/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7779821.42857143</v>
      </c>
      <c r="O36" s="34"/>
      <c r="P36" s="34">
        <f>SUM(P6:P35)</f>
        <v>145112316.71688896</v>
      </c>
      <c r="Q36" s="34"/>
      <c r="R36" s="36">
        <f>SUM(R6:R35)</f>
        <v>152892138.1454604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1166973.2142857146</v>
      </c>
      <c r="O37" s="40"/>
      <c r="P37" s="40">
        <f>P36*0.15</f>
        <v>21766847.507533345</v>
      </c>
      <c r="Q37" s="40"/>
      <c r="R37" s="41">
        <f>R36*0.15</f>
        <v>22933820.721819058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8946794.6428571455</v>
      </c>
      <c r="O38" s="40"/>
      <c r="P38" s="40">
        <f>P36+P37</f>
        <v>166879164.22442231</v>
      </c>
      <c r="Q38" s="40"/>
      <c r="R38" s="41">
        <f>R36+R37</f>
        <v>175825958.86727947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2.5498249705139996E-2</v>
      </c>
      <c r="O39" s="43"/>
      <c r="P39" s="44">
        <v>0.23952879231692664</v>
      </c>
      <c r="Q39" s="43"/>
      <c r="R39" s="45">
        <f>R36/L36</f>
        <v>0.50110172221543747</v>
      </c>
      <c r="S39" s="7"/>
    </row>
  </sheetData>
  <mergeCells count="21"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  <mergeCell ref="C3:N3"/>
    <mergeCell ref="O3:P3"/>
    <mergeCell ref="Q3:R3"/>
    <mergeCell ref="I1:N1"/>
    <mergeCell ref="O1:R1"/>
    <mergeCell ref="I2:N2"/>
    <mergeCell ref="O2:P2"/>
    <mergeCell ref="Q2:R2"/>
  </mergeCells>
  <printOptions horizontalCentered="1"/>
  <pageMargins left="0.7" right="0.7" top="0.75" bottom="0.75" header="0.3" footer="0.3"/>
  <pageSetup paperSize="9" scale="3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9504-9E90-427B-93BD-781A1BA7B20A}">
  <sheetPr>
    <pageSetUpPr fitToPage="1"/>
  </sheetPr>
  <dimension ref="A1:Y39"/>
  <sheetViews>
    <sheetView rightToLeft="1" view="pageBreakPreview" topLeftCell="A2" zoomScale="50" zoomScaleNormal="40" zoomScaleSheetLayoutView="50" workbookViewId="0">
      <selection activeCell="F6" sqref="F6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6" width="17.296875" style="1" customWidth="1"/>
    <col min="7" max="7" width="17.296875" style="1" hidden="1" customWidth="1"/>
    <col min="8" max="8" width="20.09765625" style="1" bestFit="1" customWidth="1"/>
    <col min="9" max="9" width="11.3984375" style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2"/>
      <c r="F1" s="2"/>
      <c r="G1" s="2"/>
      <c r="H1" s="2"/>
      <c r="I1" s="96" t="s">
        <v>60</v>
      </c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I2" s="96" t="s">
        <v>59</v>
      </c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35.4" x14ac:dyDescent="0.25">
      <c r="A4" s="66" t="s">
        <v>6</v>
      </c>
      <c r="B4" s="67" t="s">
        <v>7</v>
      </c>
      <c r="C4" s="67" t="s">
        <v>8</v>
      </c>
      <c r="D4" s="89" t="s">
        <v>9</v>
      </c>
      <c r="E4" s="90" t="s">
        <v>10</v>
      </c>
      <c r="F4" s="91"/>
      <c r="G4" s="91"/>
      <c r="H4" s="92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9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1</v>
      </c>
      <c r="N6" s="13">
        <f>D6*M6</f>
        <v>50000</v>
      </c>
      <c r="O6" s="13">
        <v>37.798924731182801</v>
      </c>
      <c r="P6" s="13">
        <v>1889946.2365591398</v>
      </c>
      <c r="Q6" s="13">
        <f>M6+O6</f>
        <v>38.798924731182801</v>
      </c>
      <c r="R6" s="16">
        <f>P6+N6</f>
        <v>1939946.2365591398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32.774193548387096</v>
      </c>
      <c r="N9" s="13">
        <f t="shared" si="0"/>
        <v>917677.41935483867</v>
      </c>
      <c r="O9" s="13">
        <v>632.04429121555791</v>
      </c>
      <c r="P9" s="13">
        <v>17697240.154035624</v>
      </c>
      <c r="Q9" s="13">
        <f t="shared" si="1"/>
        <v>664.81848476394498</v>
      </c>
      <c r="R9" s="16">
        <f t="shared" si="2"/>
        <v>18614917.573390462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3</v>
      </c>
      <c r="N10" s="13">
        <f t="shared" si="0"/>
        <v>57000</v>
      </c>
      <c r="O10" s="13">
        <v>42.847416129032261</v>
      </c>
      <c r="P10" s="13">
        <v>814100.90645161294</v>
      </c>
      <c r="Q10" s="13">
        <f t="shared" si="1"/>
        <v>45.847416129032261</v>
      </c>
      <c r="R10" s="16">
        <f t="shared" si="2"/>
        <v>871100.90645161294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64.387096774193552</v>
      </c>
      <c r="N11" s="13">
        <f t="shared" si="0"/>
        <v>1352129.0322580645</v>
      </c>
      <c r="O11" s="13">
        <v>1175.1627455879016</v>
      </c>
      <c r="P11" s="13">
        <v>24678417.657345928</v>
      </c>
      <c r="Q11" s="13">
        <f t="shared" si="1"/>
        <v>1239.5498423620952</v>
      </c>
      <c r="R11" s="16">
        <f t="shared" si="2"/>
        <v>26030546.689603992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28.146633333333334</v>
      </c>
      <c r="P12" s="13">
        <v>534786.03333333333</v>
      </c>
      <c r="Q12" s="13">
        <f t="shared" si="1"/>
        <v>29.146633333333334</v>
      </c>
      <c r="R12" s="16">
        <f t="shared" si="2"/>
        <v>553786.03333333333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15.741935483870968</v>
      </c>
      <c r="N13" s="13">
        <f t="shared" si="0"/>
        <v>330580.6451612903</v>
      </c>
      <c r="O13" s="13">
        <v>288.78425854176589</v>
      </c>
      <c r="P13" s="13">
        <v>6064469.4293770827</v>
      </c>
      <c r="Q13" s="13">
        <f t="shared" si="1"/>
        <v>304.52619402563687</v>
      </c>
      <c r="R13" s="16">
        <f t="shared" si="2"/>
        <v>6395050.0745383734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0.83870967741935487</v>
      </c>
      <c r="N14" s="22">
        <f t="shared" si="0"/>
        <v>15935.483870967742</v>
      </c>
      <c r="O14" s="22">
        <v>22.802043010752687</v>
      </c>
      <c r="P14" s="13">
        <v>433238.81720430101</v>
      </c>
      <c r="Q14" s="22">
        <f t="shared" si="1"/>
        <v>23.640752688172043</v>
      </c>
      <c r="R14" s="16">
        <f t="shared" si="2"/>
        <v>449174.30107526877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15.258064516129032</v>
      </c>
      <c r="N15" s="22">
        <f t="shared" si="0"/>
        <v>320419.3548387097</v>
      </c>
      <c r="O15" s="22">
        <v>248.68056261751155</v>
      </c>
      <c r="P15" s="13">
        <v>5222291.8149677413</v>
      </c>
      <c r="Q15" s="22">
        <f t="shared" si="1"/>
        <v>263.93862713364058</v>
      </c>
      <c r="R15" s="16">
        <f t="shared" si="2"/>
        <v>5542711.1698064506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0"/>
        <v>54000</v>
      </c>
      <c r="O16" s="13">
        <v>100.09944142083522</v>
      </c>
      <c r="P16" s="13">
        <v>1801789.945575034</v>
      </c>
      <c r="Q16" s="13">
        <f t="shared" si="1"/>
        <v>103.09944142083522</v>
      </c>
      <c r="R16" s="16">
        <f t="shared" si="2"/>
        <v>1855789.945575034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9.935483870967742</v>
      </c>
      <c r="N17" s="13">
        <f t="shared" si="0"/>
        <v>208645.16129032258</v>
      </c>
      <c r="O17" s="13">
        <v>187.86811059907834</v>
      </c>
      <c r="P17" s="13">
        <v>3945230.3225806458</v>
      </c>
      <c r="Q17" s="13">
        <f t="shared" si="1"/>
        <v>197.80359447004608</v>
      </c>
      <c r="R17" s="16">
        <f t="shared" si="2"/>
        <v>4153875.4838709682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6.225806451612903</v>
      </c>
      <c r="N20" s="13">
        <f t="shared" si="0"/>
        <v>161870.96774193548</v>
      </c>
      <c r="O20" s="13">
        <v>96.429899886021474</v>
      </c>
      <c r="P20" s="13">
        <v>2507177.397036558</v>
      </c>
      <c r="Q20" s="13">
        <f t="shared" si="1"/>
        <v>102.65570633763437</v>
      </c>
      <c r="R20" s="16">
        <f t="shared" si="2"/>
        <v>2669048.3647784935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0"/>
        <v>38000</v>
      </c>
      <c r="O21" s="13">
        <v>29.544076344086022</v>
      </c>
      <c r="P21" s="13">
        <v>561337.45053763431</v>
      </c>
      <c r="Q21" s="13">
        <f t="shared" si="1"/>
        <v>31.544076344086022</v>
      </c>
      <c r="R21" s="16">
        <f t="shared" si="2"/>
        <v>599337.45053763431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2</v>
      </c>
      <c r="N22" s="13">
        <f t="shared" si="0"/>
        <v>42000</v>
      </c>
      <c r="O22" s="13">
        <v>35.095161290322579</v>
      </c>
      <c r="P22" s="13">
        <v>736998.38709677418</v>
      </c>
      <c r="Q22" s="13">
        <f t="shared" si="1"/>
        <v>37.095161290322579</v>
      </c>
      <c r="R22" s="16">
        <f t="shared" si="2"/>
        <v>778998.38709677418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1">
        <v>4</v>
      </c>
      <c r="J26" s="14">
        <v>52.86</v>
      </c>
      <c r="K26" s="14"/>
      <c r="L26" s="13">
        <v>3171600</v>
      </c>
      <c r="M26" s="15">
        <v>8.1612903225806459</v>
      </c>
      <c r="N26" s="13">
        <f t="shared" si="0"/>
        <v>122419.35483870968</v>
      </c>
      <c r="O26" s="13">
        <v>169.75736107526882</v>
      </c>
      <c r="P26" s="13">
        <v>2546360.4161290321</v>
      </c>
      <c r="Q26" s="13">
        <f t="shared" si="1"/>
        <v>177.91865139784946</v>
      </c>
      <c r="R26" s="16">
        <f t="shared" si="2"/>
        <v>2668779.770967742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1">
        <v>14</v>
      </c>
      <c r="J27" s="14">
        <v>52.86</v>
      </c>
      <c r="K27" s="14"/>
      <c r="L27" s="13">
        <v>12580680</v>
      </c>
      <c r="M27" s="15">
        <v>25.548387096774192</v>
      </c>
      <c r="N27" s="13">
        <f t="shared" si="0"/>
        <v>434322.58064516127</v>
      </c>
      <c r="O27" s="13">
        <v>362.70071909447006</v>
      </c>
      <c r="P27" s="13">
        <v>6165912.2246059906</v>
      </c>
      <c r="Q27" s="13">
        <f t="shared" si="1"/>
        <v>388.24910619124427</v>
      </c>
      <c r="R27" s="16">
        <f t="shared" si="2"/>
        <v>6600234.8052511523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1">
        <v>16</v>
      </c>
      <c r="J28" s="14">
        <v>52.86</v>
      </c>
      <c r="K28" s="14"/>
      <c r="L28" s="13">
        <v>10149120</v>
      </c>
      <c r="M28" s="15">
        <v>23.806451612903224</v>
      </c>
      <c r="N28" s="13">
        <f t="shared" si="0"/>
        <v>285677.41935483867</v>
      </c>
      <c r="O28" s="13">
        <v>465.0877092358063</v>
      </c>
      <c r="P28" s="13">
        <v>5581052.5108296759</v>
      </c>
      <c r="Q28" s="13">
        <f t="shared" si="1"/>
        <v>488.89416084870953</v>
      </c>
      <c r="R28" s="16">
        <f t="shared" si="2"/>
        <v>5866729.9301845143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100.54838709677419</v>
      </c>
      <c r="N29" s="13">
        <f t="shared" si="0"/>
        <v>1206580.6451612904</v>
      </c>
      <c r="O29" s="13">
        <v>1552.4243851189087</v>
      </c>
      <c r="P29" s="13">
        <v>18629092.621426906</v>
      </c>
      <c r="Q29" s="13">
        <f t="shared" si="1"/>
        <v>1652.9727722156829</v>
      </c>
      <c r="R29" s="16">
        <f t="shared" si="2"/>
        <v>19835673.266588196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1">
        <v>4</v>
      </c>
      <c r="J30" s="14">
        <v>52.86</v>
      </c>
      <c r="K30" s="14"/>
      <c r="L30" s="13">
        <v>2325840</v>
      </c>
      <c r="M30" s="15">
        <v>4</v>
      </c>
      <c r="N30" s="13">
        <f t="shared" si="0"/>
        <v>44000</v>
      </c>
      <c r="O30" s="13">
        <v>91.286747496159748</v>
      </c>
      <c r="P30" s="13">
        <v>1004154.2224577572</v>
      </c>
      <c r="Q30" s="13">
        <f t="shared" si="1"/>
        <v>95.286747496159748</v>
      </c>
      <c r="R30" s="16">
        <f t="shared" si="2"/>
        <v>1048154.2224577572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1">
        <v>50</v>
      </c>
      <c r="J31" s="14">
        <v>52.86</v>
      </c>
      <c r="K31" s="14"/>
      <c r="L31" s="13">
        <v>34359000</v>
      </c>
      <c r="M31" s="15">
        <v>89.096774193548384</v>
      </c>
      <c r="N31" s="13">
        <f t="shared" si="0"/>
        <v>1158258.064516129</v>
      </c>
      <c r="O31" s="13">
        <v>1409.0720951774972</v>
      </c>
      <c r="P31" s="13">
        <v>18317937.237307463</v>
      </c>
      <c r="Q31" s="13">
        <f t="shared" si="1"/>
        <v>1498.1688693710455</v>
      </c>
      <c r="R31" s="16">
        <f t="shared" si="2"/>
        <v>19476195.301823594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1">
        <v>16</v>
      </c>
      <c r="J32" s="14">
        <v>52.86</v>
      </c>
      <c r="K32" s="14"/>
      <c r="L32" s="13">
        <v>9303360</v>
      </c>
      <c r="M32" s="15">
        <v>25.903225806451612</v>
      </c>
      <c r="N32" s="13">
        <f t="shared" si="0"/>
        <v>284935.48387096776</v>
      </c>
      <c r="O32" s="13">
        <v>463.20055005096145</v>
      </c>
      <c r="P32" s="13">
        <v>5095206.0505605759</v>
      </c>
      <c r="Q32" s="13">
        <f t="shared" si="1"/>
        <v>489.10377585741304</v>
      </c>
      <c r="R32" s="16">
        <f t="shared" si="2"/>
        <v>5380141.5344315432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1">
        <v>26</v>
      </c>
      <c r="J33" s="14">
        <v>52.86</v>
      </c>
      <c r="K33" s="14"/>
      <c r="L33" s="13">
        <v>16492319.999999998</v>
      </c>
      <c r="M33" s="15">
        <v>34.516129032258064</v>
      </c>
      <c r="N33" s="13">
        <f t="shared" si="0"/>
        <v>414193.54838709679</v>
      </c>
      <c r="O33" s="13">
        <v>448.69720523610044</v>
      </c>
      <c r="P33" s="13">
        <v>5384366.4628332043</v>
      </c>
      <c r="Q33" s="13">
        <f t="shared" si="1"/>
        <v>483.21333426835849</v>
      </c>
      <c r="R33" s="16">
        <f t="shared" si="2"/>
        <v>5798560.0112203015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24.29032258064516</v>
      </c>
      <c r="N34" s="13">
        <f t="shared" si="0"/>
        <v>242903.22580645161</v>
      </c>
      <c r="O34" s="13">
        <v>470.03386982068383</v>
      </c>
      <c r="P34" s="13">
        <v>4700338.6982068392</v>
      </c>
      <c r="Q34" s="13">
        <f t="shared" si="1"/>
        <v>494.32419240132901</v>
      </c>
      <c r="R34" s="16">
        <f t="shared" si="2"/>
        <v>4943241.9240132906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16.838709677419356</v>
      </c>
      <c r="N35" s="28">
        <f t="shared" si="0"/>
        <v>168387.09677419355</v>
      </c>
      <c r="O35" s="28">
        <v>287.19362365591405</v>
      </c>
      <c r="P35" s="13">
        <v>2871936.2365591405</v>
      </c>
      <c r="Q35" s="28">
        <f t="shared" si="1"/>
        <v>304.03233333333338</v>
      </c>
      <c r="R35" s="31">
        <f t="shared" si="2"/>
        <v>3040323.333333334</v>
      </c>
      <c r="S35" s="7"/>
    </row>
    <row r="36" spans="1:19" ht="35.4" x14ac:dyDescent="0.25">
      <c r="A36" s="66" t="s">
        <v>54</v>
      </c>
      <c r="B36" s="67"/>
      <c r="C36" s="67"/>
      <c r="D36" s="67"/>
      <c r="E36" s="48">
        <v>118</v>
      </c>
      <c r="F36" s="48"/>
      <c r="G36" s="48">
        <v>5340</v>
      </c>
      <c r="H36" s="48">
        <v>126000000</v>
      </c>
      <c r="I36" s="32">
        <f>SUM(I6:I35)</f>
        <v>357.90767877412031</v>
      </c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7928935.4838709682</v>
      </c>
      <c r="O36" s="34"/>
      <c r="P36" s="34">
        <f>SUM(P6:P35)</f>
        <v>137183381.23301801</v>
      </c>
      <c r="Q36" s="34"/>
      <c r="R36" s="36">
        <f>SUM(R6:R35)</f>
        <v>145112316.71688896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1189340.3225806451</v>
      </c>
      <c r="O37" s="40"/>
      <c r="P37" s="40">
        <f>P36*0.15</f>
        <v>20577507.184952702</v>
      </c>
      <c r="Q37" s="40"/>
      <c r="R37" s="41">
        <f>R36*0.15</f>
        <v>21766847.507533345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9118275.8064516131</v>
      </c>
      <c r="O38" s="40"/>
      <c r="P38" s="40">
        <f>P36+P37</f>
        <v>157760888.41797072</v>
      </c>
      <c r="Q38" s="40"/>
      <c r="R38" s="41">
        <f>R36+R37</f>
        <v>166879164.22442231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2.5986968816688015E-2</v>
      </c>
      <c r="O39" s="43"/>
      <c r="P39" s="44">
        <v>0.23952879231692664</v>
      </c>
      <c r="Q39" s="43"/>
      <c r="R39" s="45">
        <f>R36/L36</f>
        <v>0.4756034725102975</v>
      </c>
      <c r="S39" s="7"/>
    </row>
  </sheetData>
  <mergeCells count="21"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  <mergeCell ref="C3:N3"/>
    <mergeCell ref="O3:P3"/>
    <mergeCell ref="Q3:R3"/>
    <mergeCell ref="I1:N1"/>
    <mergeCell ref="O1:R1"/>
    <mergeCell ref="I2:N2"/>
    <mergeCell ref="O2:P2"/>
    <mergeCell ref="Q2:R2"/>
  </mergeCells>
  <printOptions horizontalCentered="1"/>
  <pageMargins left="0.7" right="0.7" top="0.75" bottom="0.75" header="0.3" footer="0.3"/>
  <pageSetup paperSize="9" scale="3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938B-12B4-4ECA-9E03-17BA20F2888D}">
  <sheetPr>
    <pageSetUpPr fitToPage="1"/>
  </sheetPr>
  <dimension ref="A1:Y39"/>
  <sheetViews>
    <sheetView rightToLeft="1" view="pageBreakPreview" zoomScale="50" zoomScaleNormal="40" zoomScaleSheetLayoutView="50" workbookViewId="0">
      <selection activeCell="E2" sqref="E2:N2"/>
    </sheetView>
  </sheetViews>
  <sheetFormatPr defaultColWidth="8.796875" defaultRowHeight="13.8" x14ac:dyDescent="0.25"/>
  <cols>
    <col min="1" max="1" width="8.796875" style="1"/>
    <col min="2" max="2" width="46.69921875" style="1" customWidth="1"/>
    <col min="3" max="3" width="11" style="1" customWidth="1"/>
    <col min="4" max="4" width="17.296875" style="1" customWidth="1"/>
    <col min="5" max="5" width="11.3984375" style="1" customWidth="1"/>
    <col min="6" max="6" width="11.296875" style="1" customWidth="1"/>
    <col min="7" max="7" width="0" style="1" hidden="1" customWidth="1"/>
    <col min="8" max="8" width="31.3984375" style="1" customWidth="1"/>
    <col min="9" max="9" width="11.69921875" style="1" bestFit="1" customWidth="1"/>
    <col min="10" max="10" width="9.296875" style="1" bestFit="1" customWidth="1"/>
    <col min="11" max="11" width="14.296875" style="1" bestFit="1" customWidth="1"/>
    <col min="12" max="12" width="23.59765625" style="1" bestFit="1" customWidth="1"/>
    <col min="13" max="13" width="20.59765625" style="1" customWidth="1"/>
    <col min="14" max="14" width="32.09765625" style="1" bestFit="1" customWidth="1"/>
    <col min="15" max="15" width="18.8984375" style="1" customWidth="1"/>
    <col min="16" max="16" width="28.19921875" style="1" bestFit="1" customWidth="1"/>
    <col min="17" max="17" width="24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96" t="s">
        <v>58</v>
      </c>
      <c r="F1" s="96"/>
      <c r="G1" s="96"/>
      <c r="H1" s="96"/>
      <c r="I1" s="96"/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E2" s="96" t="s">
        <v>81</v>
      </c>
      <c r="F2" s="96"/>
      <c r="G2" s="96"/>
      <c r="H2" s="96"/>
      <c r="I2" s="96"/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9" t="s">
        <v>75</v>
      </c>
      <c r="P3" s="99"/>
      <c r="Q3" s="99" t="s">
        <v>76</v>
      </c>
      <c r="R3" s="99"/>
      <c r="S3" s="3"/>
    </row>
    <row r="4" spans="1:25" ht="35.4" x14ac:dyDescent="0.25">
      <c r="A4" s="66" t="s">
        <v>6</v>
      </c>
      <c r="B4" s="67" t="s">
        <v>7</v>
      </c>
      <c r="C4" s="67" t="s">
        <v>8</v>
      </c>
      <c r="D4" s="89" t="s">
        <v>9</v>
      </c>
      <c r="E4" s="67" t="s">
        <v>10</v>
      </c>
      <c r="F4" s="67"/>
      <c r="G4" s="67"/>
      <c r="H4" s="67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8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2">
        <v>1</v>
      </c>
      <c r="F6" s="14">
        <v>60</v>
      </c>
      <c r="G6" s="14">
        <f>E6*F6</f>
        <v>60</v>
      </c>
      <c r="H6" s="13">
        <f t="shared" ref="H6:H35" si="0">E6*F6*D6</f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1</v>
      </c>
      <c r="N6" s="13">
        <f t="shared" ref="N6:N35" si="1">D6*M6</f>
        <v>50000</v>
      </c>
      <c r="O6" s="13">
        <v>36.798924731182801</v>
      </c>
      <c r="P6" s="13">
        <v>1839946.2365591398</v>
      </c>
      <c r="Q6" s="13">
        <f>M6+O6</f>
        <v>37.798924731182801</v>
      </c>
      <c r="R6" s="16">
        <f>P6+N6</f>
        <v>1889946.2365591398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2">
        <v>1</v>
      </c>
      <c r="F7" s="14">
        <v>60</v>
      </c>
      <c r="G7" s="14">
        <f t="shared" ref="G7:G35" si="2">E7*F7</f>
        <v>60</v>
      </c>
      <c r="H7" s="13">
        <f t="shared" si="0"/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si="1"/>
        <v>0</v>
      </c>
      <c r="O7" s="13">
        <v>0</v>
      </c>
      <c r="P7" s="13">
        <v>0</v>
      </c>
      <c r="Q7" s="13">
        <f t="shared" ref="Q7:Q35" si="3">M7+O7</f>
        <v>0</v>
      </c>
      <c r="R7" s="16">
        <f t="shared" ref="R7:R35" si="4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2">
        <v>2</v>
      </c>
      <c r="F8" s="14">
        <v>60</v>
      </c>
      <c r="G8" s="14">
        <f t="shared" si="2"/>
        <v>120</v>
      </c>
      <c r="H8" s="13">
        <f t="shared" si="0"/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1"/>
        <v>0</v>
      </c>
      <c r="O8" s="13">
        <v>0</v>
      </c>
      <c r="P8" s="13">
        <v>0</v>
      </c>
      <c r="Q8" s="13">
        <f t="shared" si="3"/>
        <v>0</v>
      </c>
      <c r="R8" s="16">
        <f t="shared" si="4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2">
        <v>7</v>
      </c>
      <c r="F9" s="14">
        <v>60</v>
      </c>
      <c r="G9" s="14">
        <f t="shared" si="2"/>
        <v>420</v>
      </c>
      <c r="H9" s="13">
        <f t="shared" si="0"/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31.612903225806452</v>
      </c>
      <c r="N9" s="13">
        <f t="shared" si="1"/>
        <v>885161.29032258061</v>
      </c>
      <c r="O9" s="13">
        <v>600.43138798975144</v>
      </c>
      <c r="P9" s="13">
        <v>16812078.863713045</v>
      </c>
      <c r="Q9" s="13">
        <f t="shared" si="3"/>
        <v>632.04429121555791</v>
      </c>
      <c r="R9" s="16">
        <f t="shared" si="4"/>
        <v>17697240.154035624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2">
        <v>3</v>
      </c>
      <c r="F10" s="14">
        <v>60</v>
      </c>
      <c r="G10" s="14">
        <f t="shared" si="2"/>
        <v>180</v>
      </c>
      <c r="H10" s="13">
        <f t="shared" si="0"/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3</v>
      </c>
      <c r="N10" s="13">
        <f t="shared" si="1"/>
        <v>57000</v>
      </c>
      <c r="O10" s="13">
        <v>39.847416129032261</v>
      </c>
      <c r="P10" s="13">
        <v>757100.90645161294</v>
      </c>
      <c r="Q10" s="13">
        <f t="shared" si="3"/>
        <v>42.847416129032261</v>
      </c>
      <c r="R10" s="16">
        <f t="shared" si="4"/>
        <v>814100.90645161294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2">
        <v>15</v>
      </c>
      <c r="F11" s="14">
        <v>60</v>
      </c>
      <c r="G11" s="14">
        <f t="shared" si="2"/>
        <v>900</v>
      </c>
      <c r="H11" s="13">
        <f t="shared" si="0"/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66.935483870967744</v>
      </c>
      <c r="N11" s="13">
        <f t="shared" si="1"/>
        <v>1405645.1612903227</v>
      </c>
      <c r="O11" s="13">
        <v>1108.2272617169338</v>
      </c>
      <c r="P11" s="13">
        <v>23272772.496055607</v>
      </c>
      <c r="Q11" s="13">
        <f t="shared" si="3"/>
        <v>1175.1627455879016</v>
      </c>
      <c r="R11" s="16">
        <f t="shared" si="4"/>
        <v>24678417.657345928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2">
        <v>2</v>
      </c>
      <c r="F12" s="14">
        <v>60</v>
      </c>
      <c r="G12" s="14">
        <f t="shared" si="2"/>
        <v>120</v>
      </c>
      <c r="H12" s="13">
        <f t="shared" si="0"/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1"/>
        <v>19000</v>
      </c>
      <c r="O12" s="13">
        <v>27.146633333333334</v>
      </c>
      <c r="P12" s="13">
        <v>515786.03333333333</v>
      </c>
      <c r="Q12" s="13">
        <f t="shared" si="3"/>
        <v>28.146633333333334</v>
      </c>
      <c r="R12" s="16">
        <f t="shared" si="4"/>
        <v>534786.03333333333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2">
        <v>6</v>
      </c>
      <c r="F13" s="14">
        <v>60</v>
      </c>
      <c r="G13" s="14">
        <f t="shared" si="2"/>
        <v>360</v>
      </c>
      <c r="H13" s="13">
        <f t="shared" si="0"/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15.32258064516129</v>
      </c>
      <c r="N13" s="13">
        <f t="shared" si="1"/>
        <v>321774.19354838709</v>
      </c>
      <c r="O13" s="13">
        <v>273.46167789660461</v>
      </c>
      <c r="P13" s="13">
        <v>5742695.2358286958</v>
      </c>
      <c r="Q13" s="13">
        <f t="shared" si="3"/>
        <v>288.78425854176589</v>
      </c>
      <c r="R13" s="16">
        <f t="shared" si="4"/>
        <v>6064469.4293770827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1">
        <v>2</v>
      </c>
      <c r="F14" s="23">
        <v>60</v>
      </c>
      <c r="G14" s="23">
        <f t="shared" si="2"/>
        <v>120</v>
      </c>
      <c r="H14" s="22">
        <f t="shared" si="0"/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0.967741935483871</v>
      </c>
      <c r="N14" s="22">
        <f t="shared" si="1"/>
        <v>18387.096774193549</v>
      </c>
      <c r="O14" s="22">
        <v>21.834301075268815</v>
      </c>
      <c r="P14" s="13">
        <v>414851.72043010744</v>
      </c>
      <c r="Q14" s="22">
        <f t="shared" si="3"/>
        <v>22.802043010752687</v>
      </c>
      <c r="R14" s="16">
        <f t="shared" si="4"/>
        <v>433238.81720430101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1">
        <v>5</v>
      </c>
      <c r="F15" s="23">
        <v>60</v>
      </c>
      <c r="G15" s="23">
        <f t="shared" si="2"/>
        <v>300</v>
      </c>
      <c r="H15" s="22">
        <f t="shared" si="0"/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15.612903225806452</v>
      </c>
      <c r="N15" s="22">
        <f t="shared" si="1"/>
        <v>327870.96774193551</v>
      </c>
      <c r="O15" s="22">
        <v>233.06765939170509</v>
      </c>
      <c r="P15" s="13">
        <v>4894420.8472258057</v>
      </c>
      <c r="Q15" s="22">
        <f t="shared" si="3"/>
        <v>248.68056261751155</v>
      </c>
      <c r="R15" s="16">
        <f t="shared" si="4"/>
        <v>5222291.8149677413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2">
        <v>2</v>
      </c>
      <c r="F16" s="14">
        <v>60</v>
      </c>
      <c r="G16" s="14">
        <f t="shared" si="2"/>
        <v>120</v>
      </c>
      <c r="H16" s="13">
        <f t="shared" si="0"/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3</v>
      </c>
      <c r="N16" s="13">
        <f t="shared" si="1"/>
        <v>54000</v>
      </c>
      <c r="O16" s="13">
        <v>97.09944142083522</v>
      </c>
      <c r="P16" s="13">
        <v>1747789.945575034</v>
      </c>
      <c r="Q16" s="13">
        <f t="shared" si="3"/>
        <v>100.09944142083522</v>
      </c>
      <c r="R16" s="16">
        <f t="shared" si="4"/>
        <v>1801789.945575034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2">
        <v>5</v>
      </c>
      <c r="F17" s="14">
        <v>60</v>
      </c>
      <c r="G17" s="14">
        <f t="shared" si="2"/>
        <v>300</v>
      </c>
      <c r="H17" s="13">
        <f t="shared" si="0"/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10.774193548387096</v>
      </c>
      <c r="N17" s="13">
        <f t="shared" si="1"/>
        <v>226258.06451612903</v>
      </c>
      <c r="O17" s="13">
        <v>177.09391705069123</v>
      </c>
      <c r="P17" s="13">
        <v>3718972.2580645168</v>
      </c>
      <c r="Q17" s="13">
        <f t="shared" si="3"/>
        <v>187.86811059907834</v>
      </c>
      <c r="R17" s="16">
        <f t="shared" si="4"/>
        <v>3945230.3225806458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2">
        <v>1</v>
      </c>
      <c r="F18" s="14">
        <v>60</v>
      </c>
      <c r="G18" s="14">
        <f t="shared" si="2"/>
        <v>60</v>
      </c>
      <c r="H18" s="13">
        <f t="shared" si="0"/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1"/>
        <v>0</v>
      </c>
      <c r="O18" s="13">
        <v>0</v>
      </c>
      <c r="P18" s="13">
        <v>0</v>
      </c>
      <c r="Q18" s="13">
        <f t="shared" si="3"/>
        <v>0</v>
      </c>
      <c r="R18" s="16">
        <f t="shared" si="4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1">
        <v>1</v>
      </c>
      <c r="F19" s="23">
        <v>60</v>
      </c>
      <c r="G19" s="23">
        <f t="shared" si="2"/>
        <v>60</v>
      </c>
      <c r="H19" s="22">
        <f t="shared" si="0"/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1"/>
        <v>0</v>
      </c>
      <c r="O19" s="22">
        <v>0</v>
      </c>
      <c r="P19" s="13">
        <v>0</v>
      </c>
      <c r="Q19" s="22">
        <f t="shared" si="3"/>
        <v>0</v>
      </c>
      <c r="R19" s="16">
        <f t="shared" si="4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2">
        <v>2</v>
      </c>
      <c r="F20" s="14">
        <v>60</v>
      </c>
      <c r="G20" s="14">
        <f t="shared" si="2"/>
        <v>120</v>
      </c>
      <c r="H20" s="13">
        <f t="shared" si="0"/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5.161290322580645</v>
      </c>
      <c r="N20" s="13">
        <f t="shared" si="1"/>
        <v>134193.54838709676</v>
      </c>
      <c r="O20" s="13">
        <v>91.268609563440833</v>
      </c>
      <c r="P20" s="13">
        <v>2372983.8486494613</v>
      </c>
      <c r="Q20" s="13">
        <f t="shared" si="3"/>
        <v>96.429899886021474</v>
      </c>
      <c r="R20" s="16">
        <f t="shared" si="4"/>
        <v>2507177.397036558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2">
        <v>1</v>
      </c>
      <c r="F21" s="14">
        <v>60</v>
      </c>
      <c r="G21" s="14">
        <f t="shared" si="2"/>
        <v>60</v>
      </c>
      <c r="H21" s="13">
        <f t="shared" si="0"/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2</v>
      </c>
      <c r="N21" s="13">
        <f t="shared" si="1"/>
        <v>38000</v>
      </c>
      <c r="O21" s="13">
        <v>27.544076344086022</v>
      </c>
      <c r="P21" s="13">
        <v>523337.45053763437</v>
      </c>
      <c r="Q21" s="13">
        <f t="shared" si="3"/>
        <v>29.544076344086022</v>
      </c>
      <c r="R21" s="16">
        <f t="shared" si="4"/>
        <v>561337.45053763431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2">
        <v>1</v>
      </c>
      <c r="F22" s="14">
        <v>60</v>
      </c>
      <c r="G22" s="14">
        <f t="shared" si="2"/>
        <v>60</v>
      </c>
      <c r="H22" s="13">
        <f t="shared" si="0"/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0.90322580645161288</v>
      </c>
      <c r="N22" s="13">
        <f t="shared" si="1"/>
        <v>18967.741935483871</v>
      </c>
      <c r="O22" s="13">
        <v>34.191935483870964</v>
      </c>
      <c r="P22" s="13">
        <v>718030.6451612903</v>
      </c>
      <c r="Q22" s="13">
        <f t="shared" si="3"/>
        <v>35.095161290322579</v>
      </c>
      <c r="R22" s="16">
        <f t="shared" si="4"/>
        <v>736998.38709677418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2">
        <v>1</v>
      </c>
      <c r="F23" s="14">
        <v>60</v>
      </c>
      <c r="G23" s="14">
        <f t="shared" si="2"/>
        <v>60</v>
      </c>
      <c r="H23" s="13">
        <f t="shared" si="0"/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1"/>
        <v>0</v>
      </c>
      <c r="O23" s="13">
        <v>0</v>
      </c>
      <c r="P23" s="13">
        <v>0</v>
      </c>
      <c r="Q23" s="13">
        <f t="shared" si="3"/>
        <v>0</v>
      </c>
      <c r="R23" s="16">
        <f t="shared" si="4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2">
        <v>1</v>
      </c>
      <c r="F24" s="14">
        <v>60</v>
      </c>
      <c r="G24" s="14">
        <f t="shared" si="2"/>
        <v>60</v>
      </c>
      <c r="H24" s="13">
        <f t="shared" si="0"/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1"/>
        <v>0</v>
      </c>
      <c r="O24" s="13">
        <v>0</v>
      </c>
      <c r="P24" s="13">
        <v>0</v>
      </c>
      <c r="Q24" s="13">
        <f t="shared" si="3"/>
        <v>0</v>
      </c>
      <c r="R24" s="16">
        <f t="shared" si="4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2">
        <v>1</v>
      </c>
      <c r="F25" s="14">
        <v>60</v>
      </c>
      <c r="G25" s="14">
        <f t="shared" si="2"/>
        <v>60</v>
      </c>
      <c r="H25" s="13">
        <f t="shared" si="0"/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1"/>
        <v>0</v>
      </c>
      <c r="O25" s="13">
        <v>0</v>
      </c>
      <c r="P25" s="13">
        <v>0</v>
      </c>
      <c r="Q25" s="13">
        <f t="shared" si="3"/>
        <v>0</v>
      </c>
      <c r="R25" s="16">
        <f t="shared" si="4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2">
        <v>1</v>
      </c>
      <c r="F26" s="14">
        <v>60</v>
      </c>
      <c r="G26" s="14"/>
      <c r="H26" s="13">
        <f t="shared" si="0"/>
        <v>900000</v>
      </c>
      <c r="I26" s="51">
        <v>4</v>
      </c>
      <c r="J26" s="14">
        <v>52.86</v>
      </c>
      <c r="K26" s="14"/>
      <c r="L26" s="13">
        <v>3171600</v>
      </c>
      <c r="M26" s="15">
        <v>8.9032258064516121</v>
      </c>
      <c r="N26" s="13">
        <f t="shared" si="1"/>
        <v>133548.38709677418</v>
      </c>
      <c r="O26" s="13">
        <v>160.8541352688172</v>
      </c>
      <c r="P26" s="13">
        <v>2412812.0290322579</v>
      </c>
      <c r="Q26" s="13">
        <f t="shared" si="3"/>
        <v>169.75736107526882</v>
      </c>
      <c r="R26" s="16">
        <f t="shared" si="4"/>
        <v>2546360.4161290321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2">
        <v>2</v>
      </c>
      <c r="F27" s="14">
        <v>60</v>
      </c>
      <c r="G27" s="14"/>
      <c r="H27" s="13">
        <f t="shared" si="0"/>
        <v>2040000</v>
      </c>
      <c r="I27" s="51">
        <v>14</v>
      </c>
      <c r="J27" s="14">
        <v>52.86</v>
      </c>
      <c r="K27" s="14"/>
      <c r="L27" s="13">
        <v>12580680</v>
      </c>
      <c r="M27" s="15">
        <v>25.451612903225808</v>
      </c>
      <c r="N27" s="13">
        <f t="shared" si="1"/>
        <v>432677.41935483873</v>
      </c>
      <c r="O27" s="13">
        <v>337.24910619124427</v>
      </c>
      <c r="P27" s="13">
        <v>5733234.8052511523</v>
      </c>
      <c r="Q27" s="13">
        <f t="shared" si="3"/>
        <v>362.70071909447006</v>
      </c>
      <c r="R27" s="16">
        <f t="shared" si="4"/>
        <v>6165912.2246059906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2">
        <v>7</v>
      </c>
      <c r="F28" s="14">
        <v>60</v>
      </c>
      <c r="G28" s="14"/>
      <c r="H28" s="13">
        <f t="shared" si="0"/>
        <v>5040000</v>
      </c>
      <c r="I28" s="51">
        <v>16</v>
      </c>
      <c r="J28" s="14">
        <v>52.86</v>
      </c>
      <c r="K28" s="14"/>
      <c r="L28" s="13">
        <v>10149120</v>
      </c>
      <c r="M28" s="15">
        <v>25.032258064516128</v>
      </c>
      <c r="N28" s="13">
        <f t="shared" si="1"/>
        <v>300387.09677419352</v>
      </c>
      <c r="O28" s="13">
        <v>440.0554511712902</v>
      </c>
      <c r="P28" s="13">
        <v>5280665.4140554825</v>
      </c>
      <c r="Q28" s="13">
        <f t="shared" si="3"/>
        <v>465.0877092358063</v>
      </c>
      <c r="R28" s="16">
        <f t="shared" si="4"/>
        <v>5581052.5108296759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2">
        <v>25</v>
      </c>
      <c r="F29" s="14">
        <v>60</v>
      </c>
      <c r="G29" s="14">
        <f t="shared" si="2"/>
        <v>1500</v>
      </c>
      <c r="H29" s="13">
        <f t="shared" si="0"/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100.45161290322581</v>
      </c>
      <c r="N29" s="13">
        <f t="shared" si="1"/>
        <v>1205419.3548387096</v>
      </c>
      <c r="O29" s="13">
        <v>1451.9727722156829</v>
      </c>
      <c r="P29" s="13">
        <v>17423673.266588196</v>
      </c>
      <c r="Q29" s="13">
        <f t="shared" si="3"/>
        <v>1552.4243851189087</v>
      </c>
      <c r="R29" s="16">
        <f t="shared" si="4"/>
        <v>18629092.621426906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2">
        <v>2</v>
      </c>
      <c r="F30" s="14">
        <v>60</v>
      </c>
      <c r="G30" s="14"/>
      <c r="H30" s="13">
        <f t="shared" si="0"/>
        <v>1320000</v>
      </c>
      <c r="I30" s="51">
        <v>4</v>
      </c>
      <c r="J30" s="14">
        <v>52.86</v>
      </c>
      <c r="K30" s="14"/>
      <c r="L30" s="13">
        <v>2325840</v>
      </c>
      <c r="M30" s="15">
        <v>3.5483870967741935</v>
      </c>
      <c r="N30" s="13">
        <f t="shared" si="1"/>
        <v>39032.258064516129</v>
      </c>
      <c r="O30" s="13">
        <v>87.738360399385556</v>
      </c>
      <c r="P30" s="13">
        <v>965121.9643932411</v>
      </c>
      <c r="Q30" s="13">
        <f t="shared" si="3"/>
        <v>91.286747496159748</v>
      </c>
      <c r="R30" s="16">
        <f t="shared" si="4"/>
        <v>1004154.2224577572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2">
        <v>7</v>
      </c>
      <c r="F31" s="14">
        <v>60</v>
      </c>
      <c r="G31" s="14"/>
      <c r="H31" s="13">
        <f t="shared" si="0"/>
        <v>5460000</v>
      </c>
      <c r="I31" s="51">
        <v>50</v>
      </c>
      <c r="J31" s="14">
        <v>52.86</v>
      </c>
      <c r="K31" s="14"/>
      <c r="L31" s="13">
        <v>34359000</v>
      </c>
      <c r="M31" s="15">
        <v>92.645161290322577</v>
      </c>
      <c r="N31" s="13">
        <f t="shared" si="1"/>
        <v>1204387.0967741935</v>
      </c>
      <c r="O31" s="13">
        <v>1316.4269338871745</v>
      </c>
      <c r="P31" s="13">
        <v>17113550.140533268</v>
      </c>
      <c r="Q31" s="13">
        <f t="shared" si="3"/>
        <v>1409.0720951774972</v>
      </c>
      <c r="R31" s="16">
        <f t="shared" si="4"/>
        <v>18317937.237307463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2">
        <v>2</v>
      </c>
      <c r="F32" s="14">
        <v>60</v>
      </c>
      <c r="G32" s="14"/>
      <c r="H32" s="13">
        <f t="shared" si="0"/>
        <v>1320000</v>
      </c>
      <c r="I32" s="51">
        <v>16</v>
      </c>
      <c r="J32" s="14">
        <v>52.86</v>
      </c>
      <c r="K32" s="14"/>
      <c r="L32" s="13">
        <v>9303360</v>
      </c>
      <c r="M32" s="15">
        <v>29.483870967741936</v>
      </c>
      <c r="N32" s="13">
        <f t="shared" si="1"/>
        <v>324322.58064516127</v>
      </c>
      <c r="O32" s="13">
        <v>433.7166790832195</v>
      </c>
      <c r="P32" s="13">
        <v>4770883.4699154142</v>
      </c>
      <c r="Q32" s="13">
        <f t="shared" si="3"/>
        <v>463.20055005096145</v>
      </c>
      <c r="R32" s="16">
        <f t="shared" si="4"/>
        <v>5095206.0505605759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2">
        <v>8</v>
      </c>
      <c r="F33" s="14">
        <v>60</v>
      </c>
      <c r="G33" s="14"/>
      <c r="H33" s="13">
        <f t="shared" si="0"/>
        <v>5760000</v>
      </c>
      <c r="I33" s="51">
        <v>26</v>
      </c>
      <c r="J33" s="14">
        <v>52.86</v>
      </c>
      <c r="K33" s="14"/>
      <c r="L33" s="13">
        <v>16492319.999999998</v>
      </c>
      <c r="M33" s="15">
        <v>34.483870967741936</v>
      </c>
      <c r="N33" s="13">
        <f t="shared" si="1"/>
        <v>413806.45161290321</v>
      </c>
      <c r="O33" s="13">
        <v>414.21333426835849</v>
      </c>
      <c r="P33" s="13">
        <v>4970560.0112203015</v>
      </c>
      <c r="Q33" s="13">
        <f t="shared" si="3"/>
        <v>448.69720523610044</v>
      </c>
      <c r="R33" s="16">
        <f t="shared" si="4"/>
        <v>5384366.4628332043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2">
        <v>1</v>
      </c>
      <c r="F34" s="14">
        <v>60</v>
      </c>
      <c r="G34" s="14">
        <f t="shared" si="2"/>
        <v>60</v>
      </c>
      <c r="H34" s="13">
        <f t="shared" si="0"/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24.70967741935484</v>
      </c>
      <c r="N34" s="13">
        <f t="shared" si="1"/>
        <v>247096.77419354839</v>
      </c>
      <c r="O34" s="13">
        <v>445.32419240132901</v>
      </c>
      <c r="P34" s="13">
        <v>4453241.9240132906</v>
      </c>
      <c r="Q34" s="13">
        <f t="shared" si="3"/>
        <v>470.03386982068383</v>
      </c>
      <c r="R34" s="16">
        <f t="shared" si="4"/>
        <v>4700338.6982068392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7">
        <v>3</v>
      </c>
      <c r="F35" s="29">
        <v>60</v>
      </c>
      <c r="G35" s="29">
        <f t="shared" si="2"/>
        <v>180</v>
      </c>
      <c r="H35" s="28">
        <f t="shared" si="0"/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16.806451612903224</v>
      </c>
      <c r="N35" s="28">
        <f t="shared" si="1"/>
        <v>168064.51612903224</v>
      </c>
      <c r="O35" s="28">
        <v>270.38717204301082</v>
      </c>
      <c r="P35" s="13">
        <v>2703871.7204301083</v>
      </c>
      <c r="Q35" s="28">
        <f t="shared" si="3"/>
        <v>287.19362365591405</v>
      </c>
      <c r="R35" s="31">
        <f t="shared" si="4"/>
        <v>2871936.2365591405</v>
      </c>
      <c r="S35" s="7"/>
    </row>
    <row r="36" spans="1:19" ht="35.4" x14ac:dyDescent="0.25">
      <c r="A36" s="66" t="s">
        <v>54</v>
      </c>
      <c r="B36" s="67"/>
      <c r="C36" s="67"/>
      <c r="D36" s="67"/>
      <c r="E36" s="32">
        <f>SUM(E6:E35)</f>
        <v>118</v>
      </c>
      <c r="F36" s="33"/>
      <c r="G36" s="33">
        <f>SUM(G6:G35)</f>
        <v>5340</v>
      </c>
      <c r="H36" s="34">
        <f>SUM(H6:H35)</f>
        <v>126000000</v>
      </c>
      <c r="I36" s="34"/>
      <c r="J36" s="34"/>
      <c r="K36" s="34"/>
      <c r="L36" s="34">
        <f>SUM(L6:L35)</f>
        <v>305111979</v>
      </c>
      <c r="M36" s="34"/>
      <c r="N36" s="35">
        <f>SUM(N6:N35)</f>
        <v>8025000</v>
      </c>
      <c r="O36" s="34"/>
      <c r="P36" s="34">
        <f>SUM(P6:P35)</f>
        <v>129158381.23301803</v>
      </c>
      <c r="Q36" s="34"/>
      <c r="R36" s="36">
        <f>SUM(R6:R35)</f>
        <v>137183381.23301801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38">
        <f>H36*0.15</f>
        <v>18900000</v>
      </c>
      <c r="I37" s="38"/>
      <c r="J37" s="38"/>
      <c r="K37" s="38"/>
      <c r="L37" s="38"/>
      <c r="M37" s="39"/>
      <c r="N37" s="40">
        <f>N36*0.15</f>
        <v>1203750</v>
      </c>
      <c r="O37" s="40"/>
      <c r="P37" s="40">
        <f>P36*0.15</f>
        <v>19373757.184952702</v>
      </c>
      <c r="Q37" s="40"/>
      <c r="R37" s="41">
        <f>R36*0.15</f>
        <v>20577507.184952702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38">
        <f>H36+H37</f>
        <v>144900000</v>
      </c>
      <c r="I38" s="38"/>
      <c r="J38" s="38"/>
      <c r="K38" s="38"/>
      <c r="L38" s="38"/>
      <c r="M38" s="38"/>
      <c r="N38" s="38">
        <f>N36+N37</f>
        <v>9228750</v>
      </c>
      <c r="O38" s="40"/>
      <c r="P38" s="40">
        <f>P36+P37</f>
        <v>148532138.41797072</v>
      </c>
      <c r="Q38" s="40"/>
      <c r="R38" s="41">
        <f>R36+R37</f>
        <v>157760888.41797072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42"/>
      <c r="I39" s="42"/>
      <c r="J39" s="42"/>
      <c r="K39" s="42"/>
      <c r="L39" s="42"/>
      <c r="M39" s="43"/>
      <c r="N39" s="44">
        <f>N36/H36</f>
        <v>6.3690476190476186E-2</v>
      </c>
      <c r="O39" s="43"/>
      <c r="P39" s="44">
        <v>0.23952879231692664</v>
      </c>
      <c r="Q39" s="43"/>
      <c r="R39" s="45">
        <f>R36/H36</f>
        <v>1.0887569939128414</v>
      </c>
      <c r="S39" s="7"/>
    </row>
  </sheetData>
  <mergeCells count="21">
    <mergeCell ref="A39:G39"/>
    <mergeCell ref="M4:N4"/>
    <mergeCell ref="O4:P4"/>
    <mergeCell ref="Q4:R4"/>
    <mergeCell ref="A36:D36"/>
    <mergeCell ref="A37:G37"/>
    <mergeCell ref="A38:G38"/>
    <mergeCell ref="A4:A5"/>
    <mergeCell ref="B4:B5"/>
    <mergeCell ref="C4:C5"/>
    <mergeCell ref="D4:D5"/>
    <mergeCell ref="E4:H4"/>
    <mergeCell ref="I4:L4"/>
    <mergeCell ref="C3:N3"/>
    <mergeCell ref="O3:P3"/>
    <mergeCell ref="Q3:R3"/>
    <mergeCell ref="E1:N1"/>
    <mergeCell ref="O1:R1"/>
    <mergeCell ref="E2:N2"/>
    <mergeCell ref="O2:P2"/>
    <mergeCell ref="Q2:R2"/>
  </mergeCells>
  <printOptions horizontalCentered="1"/>
  <pageMargins left="0.7" right="0.7" top="0.75" bottom="0.75" header="0.3" footer="0.3"/>
  <pageSetup paperSize="9" scale="34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4E3E-7FDE-4863-BF36-1A0630006AEB}">
  <sheetPr>
    <pageSetUpPr fitToPage="1"/>
  </sheetPr>
  <dimension ref="A1:Y39"/>
  <sheetViews>
    <sheetView rightToLeft="1" view="pageBreakPreview" topLeftCell="A3" zoomScale="50" zoomScaleNormal="40" zoomScaleSheetLayoutView="50" workbookViewId="0">
      <selection activeCell="I5" sqref="I5:L35"/>
    </sheetView>
  </sheetViews>
  <sheetFormatPr defaultColWidth="8.796875" defaultRowHeight="13.8" x14ac:dyDescent="0.25"/>
  <cols>
    <col min="1" max="1" width="4.5" style="1" bestFit="1" customWidth="1"/>
    <col min="2" max="2" width="23.5" style="1" bestFit="1" customWidth="1"/>
    <col min="3" max="3" width="11" style="1" customWidth="1"/>
    <col min="4" max="4" width="17.296875" style="1" customWidth="1"/>
    <col min="5" max="6" width="8.5" style="1" bestFit="1" customWidth="1"/>
    <col min="7" max="7" width="17.296875" style="1" hidden="1" customWidth="1"/>
    <col min="8" max="8" width="25.5" style="1" bestFit="1" customWidth="1"/>
    <col min="9" max="9" width="11.69921875" style="56" bestFit="1" customWidth="1"/>
    <col min="10" max="10" width="11.296875" style="1" customWidth="1"/>
    <col min="11" max="11" width="0" style="1" hidden="1" customWidth="1"/>
    <col min="12" max="12" width="31.3984375" style="1" customWidth="1"/>
    <col min="13" max="13" width="18.296875" style="1" bestFit="1" customWidth="1"/>
    <col min="14" max="14" width="21.69921875" style="1" bestFit="1" customWidth="1"/>
    <col min="15" max="15" width="18.8984375" style="1" customWidth="1"/>
    <col min="16" max="16" width="23.59765625" style="1" bestFit="1" customWidth="1"/>
    <col min="17" max="17" width="17.69921875" style="1" customWidth="1"/>
    <col min="18" max="18" width="30.69921875" style="1" bestFit="1" customWidth="1"/>
    <col min="19" max="19" width="25.09765625" style="1" customWidth="1"/>
    <col min="20" max="22" width="8.796875" style="1"/>
    <col min="23" max="23" width="21.59765625" style="1" bestFit="1" customWidth="1"/>
    <col min="24" max="24" width="8.796875" style="1"/>
    <col min="25" max="25" width="25" style="1" bestFit="1" customWidth="1"/>
    <col min="26" max="16384" width="8.796875" style="1"/>
  </cols>
  <sheetData>
    <row r="1" spans="1:25" ht="37.5" customHeight="1" x14ac:dyDescent="0.4">
      <c r="B1" s="2"/>
      <c r="C1" s="2"/>
      <c r="D1" s="2"/>
      <c r="E1" s="2"/>
      <c r="F1" s="2"/>
      <c r="G1" s="2"/>
      <c r="H1" s="2"/>
      <c r="I1" s="96" t="s">
        <v>0</v>
      </c>
      <c r="J1" s="96"/>
      <c r="K1" s="96"/>
      <c r="L1" s="96"/>
      <c r="M1" s="96"/>
      <c r="N1" s="96"/>
      <c r="O1" s="77"/>
      <c r="P1" s="77"/>
      <c r="Q1" s="77"/>
      <c r="R1" s="77"/>
      <c r="S1" s="3"/>
    </row>
    <row r="2" spans="1:25" ht="40.5" customHeight="1" x14ac:dyDescent="0.4">
      <c r="B2" s="4" t="s">
        <v>1</v>
      </c>
      <c r="I2" s="96" t="s">
        <v>2</v>
      </c>
      <c r="J2" s="96"/>
      <c r="K2" s="96"/>
      <c r="L2" s="96"/>
      <c r="M2" s="96"/>
      <c r="N2" s="96"/>
      <c r="O2" s="97" t="s">
        <v>3</v>
      </c>
      <c r="P2" s="97"/>
      <c r="Q2" s="97" t="s">
        <v>4</v>
      </c>
      <c r="R2" s="97"/>
      <c r="S2" s="3"/>
    </row>
    <row r="3" spans="1:25" ht="54" customHeight="1" thickBot="1" x14ac:dyDescent="0.3">
      <c r="A3" s="5"/>
      <c r="B3" s="6"/>
      <c r="C3" s="100" t="s">
        <v>5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99" t="s">
        <v>75</v>
      </c>
      <c r="P3" s="99"/>
      <c r="Q3" s="99" t="s">
        <v>76</v>
      </c>
      <c r="R3" s="99"/>
      <c r="S3" s="3"/>
    </row>
    <row r="4" spans="1:25" ht="35.4" x14ac:dyDescent="0.25">
      <c r="A4" s="66" t="s">
        <v>6</v>
      </c>
      <c r="B4" s="67" t="s">
        <v>7</v>
      </c>
      <c r="C4" s="67" t="s">
        <v>8</v>
      </c>
      <c r="D4" s="89" t="s">
        <v>9</v>
      </c>
      <c r="E4" s="67" t="s">
        <v>10</v>
      </c>
      <c r="F4" s="67"/>
      <c r="G4" s="67"/>
      <c r="H4" s="67"/>
      <c r="I4" s="93" t="s">
        <v>77</v>
      </c>
      <c r="J4" s="94"/>
      <c r="K4" s="94"/>
      <c r="L4" s="95"/>
      <c r="M4" s="67" t="s">
        <v>11</v>
      </c>
      <c r="N4" s="67"/>
      <c r="O4" s="67" t="s">
        <v>12</v>
      </c>
      <c r="P4" s="67"/>
      <c r="Q4" s="67" t="s">
        <v>13</v>
      </c>
      <c r="R4" s="88"/>
      <c r="S4" s="7"/>
    </row>
    <row r="5" spans="1:25" ht="69.75" customHeight="1" x14ac:dyDescent="0.25">
      <c r="A5" s="68"/>
      <c r="B5" s="69"/>
      <c r="C5" s="69"/>
      <c r="D5" s="76"/>
      <c r="E5" s="8" t="s">
        <v>14</v>
      </c>
      <c r="F5" s="9" t="s">
        <v>15</v>
      </c>
      <c r="G5" s="9"/>
      <c r="H5" s="9" t="s">
        <v>16</v>
      </c>
      <c r="I5" s="50" t="s">
        <v>14</v>
      </c>
      <c r="J5" s="9" t="s">
        <v>15</v>
      </c>
      <c r="K5" s="9"/>
      <c r="L5" s="9" t="s">
        <v>16</v>
      </c>
      <c r="M5" s="9" t="s">
        <v>78</v>
      </c>
      <c r="N5" s="9" t="s">
        <v>79</v>
      </c>
      <c r="O5" s="9" t="s">
        <v>19</v>
      </c>
      <c r="P5" s="9" t="s">
        <v>80</v>
      </c>
      <c r="Q5" s="8" t="s">
        <v>21</v>
      </c>
      <c r="R5" s="10" t="s">
        <v>22</v>
      </c>
      <c r="S5" s="7"/>
    </row>
    <row r="6" spans="1:25" ht="30" x14ac:dyDescent="0.45">
      <c r="A6" s="11">
        <v>1</v>
      </c>
      <c r="B6" s="12" t="s">
        <v>23</v>
      </c>
      <c r="C6" s="12" t="s">
        <v>24</v>
      </c>
      <c r="D6" s="13">
        <v>50000</v>
      </c>
      <c r="E6" s="13">
        <v>1</v>
      </c>
      <c r="F6" s="13">
        <v>60</v>
      </c>
      <c r="G6" s="13">
        <v>60</v>
      </c>
      <c r="H6" s="13">
        <v>3000000</v>
      </c>
      <c r="I6" s="51">
        <v>1.5</v>
      </c>
      <c r="J6" s="14">
        <v>52.86</v>
      </c>
      <c r="K6" s="14">
        <v>79.289999999999992</v>
      </c>
      <c r="L6" s="13">
        <v>3964499.9999999995</v>
      </c>
      <c r="M6" s="15">
        <v>0</v>
      </c>
      <c r="N6" s="13">
        <f>D6*M6</f>
        <v>0</v>
      </c>
      <c r="O6" s="13">
        <v>36.798924731182801</v>
      </c>
      <c r="P6" s="13">
        <v>1839946.2365591398</v>
      </c>
      <c r="Q6" s="13">
        <f>M6+O6</f>
        <v>36.798924731182801</v>
      </c>
      <c r="R6" s="16">
        <f>P6+N6</f>
        <v>1839946.2365591398</v>
      </c>
      <c r="S6" s="7"/>
      <c r="W6" s="17"/>
      <c r="Y6" s="18"/>
    </row>
    <row r="7" spans="1:25" ht="30" x14ac:dyDescent="0.45">
      <c r="A7" s="11">
        <v>2</v>
      </c>
      <c r="B7" s="12" t="s">
        <v>25</v>
      </c>
      <c r="C7" s="12" t="s">
        <v>24</v>
      </c>
      <c r="D7" s="19">
        <v>45000</v>
      </c>
      <c r="E7" s="19">
        <v>1</v>
      </c>
      <c r="F7" s="19">
        <v>60</v>
      </c>
      <c r="G7" s="19">
        <v>60</v>
      </c>
      <c r="H7" s="19">
        <v>2700000</v>
      </c>
      <c r="I7" s="51">
        <v>0</v>
      </c>
      <c r="J7" s="14">
        <v>52.86</v>
      </c>
      <c r="K7" s="14">
        <v>0</v>
      </c>
      <c r="L7" s="13">
        <v>0</v>
      </c>
      <c r="M7" s="15">
        <v>0</v>
      </c>
      <c r="N7" s="13">
        <f t="shared" ref="N7:N35" si="0">D7*M7</f>
        <v>0</v>
      </c>
      <c r="O7" s="13">
        <v>0</v>
      </c>
      <c r="P7" s="13">
        <v>0</v>
      </c>
      <c r="Q7" s="13">
        <f t="shared" ref="Q7:Q35" si="1">M7+O7</f>
        <v>0</v>
      </c>
      <c r="R7" s="16">
        <f t="shared" ref="R7:R35" si="2">P7+N7</f>
        <v>0</v>
      </c>
      <c r="S7" s="7"/>
      <c r="W7" s="17"/>
      <c r="Y7" s="18"/>
    </row>
    <row r="8" spans="1:25" ht="30" x14ac:dyDescent="0.45">
      <c r="A8" s="11">
        <v>3</v>
      </c>
      <c r="B8" s="12" t="s">
        <v>26</v>
      </c>
      <c r="C8" s="12" t="s">
        <v>24</v>
      </c>
      <c r="D8" s="13">
        <v>23000</v>
      </c>
      <c r="E8" s="13">
        <v>2</v>
      </c>
      <c r="F8" s="13">
        <v>60</v>
      </c>
      <c r="G8" s="13">
        <v>120</v>
      </c>
      <c r="H8" s="13">
        <v>2760000</v>
      </c>
      <c r="I8" s="51">
        <v>0</v>
      </c>
      <c r="J8" s="14">
        <v>52.86</v>
      </c>
      <c r="K8" s="14">
        <v>0</v>
      </c>
      <c r="L8" s="13">
        <v>0</v>
      </c>
      <c r="M8" s="15">
        <v>0</v>
      </c>
      <c r="N8" s="13">
        <f t="shared" si="0"/>
        <v>0</v>
      </c>
      <c r="O8" s="13">
        <v>0</v>
      </c>
      <c r="P8" s="13">
        <v>0</v>
      </c>
      <c r="Q8" s="13">
        <f t="shared" si="1"/>
        <v>0</v>
      </c>
      <c r="R8" s="16">
        <f t="shared" si="2"/>
        <v>0</v>
      </c>
      <c r="S8" s="7"/>
      <c r="W8" s="17"/>
      <c r="Y8" s="18"/>
    </row>
    <row r="9" spans="1:25" ht="30" x14ac:dyDescent="0.45">
      <c r="A9" s="11">
        <v>4</v>
      </c>
      <c r="B9" s="12" t="s">
        <v>27</v>
      </c>
      <c r="C9" s="12" t="s">
        <v>24</v>
      </c>
      <c r="D9" s="19">
        <v>28000</v>
      </c>
      <c r="E9" s="19">
        <v>7</v>
      </c>
      <c r="F9" s="19">
        <v>60</v>
      </c>
      <c r="G9" s="19">
        <v>420</v>
      </c>
      <c r="H9" s="19">
        <v>11760000</v>
      </c>
      <c r="I9" s="51">
        <v>23</v>
      </c>
      <c r="J9" s="14">
        <v>52.86</v>
      </c>
      <c r="K9" s="14">
        <v>1215.78</v>
      </c>
      <c r="L9" s="13">
        <v>34041840</v>
      </c>
      <c r="M9" s="15">
        <v>7.833333333333333</v>
      </c>
      <c r="N9" s="13">
        <f t="shared" si="0"/>
        <v>219333.33333333331</v>
      </c>
      <c r="O9" s="13">
        <v>592.59805465641807</v>
      </c>
      <c r="P9" s="13">
        <v>16592745.530379713</v>
      </c>
      <c r="Q9" s="13">
        <f t="shared" si="1"/>
        <v>600.43138798975144</v>
      </c>
      <c r="R9" s="16">
        <f t="shared" si="2"/>
        <v>16812078.863713045</v>
      </c>
      <c r="S9" s="7"/>
      <c r="W9" s="17"/>
      <c r="Y9" s="18"/>
    </row>
    <row r="10" spans="1:25" ht="30" x14ac:dyDescent="0.45">
      <c r="A10" s="11">
        <v>5</v>
      </c>
      <c r="B10" s="12" t="s">
        <v>28</v>
      </c>
      <c r="C10" s="12" t="s">
        <v>24</v>
      </c>
      <c r="D10" s="13">
        <v>19000</v>
      </c>
      <c r="E10" s="13">
        <v>3</v>
      </c>
      <c r="F10" s="13">
        <v>60</v>
      </c>
      <c r="G10" s="13">
        <v>180</v>
      </c>
      <c r="H10" s="13">
        <v>3420000</v>
      </c>
      <c r="I10" s="51">
        <v>4</v>
      </c>
      <c r="J10" s="14">
        <v>52.86</v>
      </c>
      <c r="K10" s="14">
        <v>211.44</v>
      </c>
      <c r="L10" s="13">
        <v>4017360</v>
      </c>
      <c r="M10" s="15">
        <v>2.9333333333333331</v>
      </c>
      <c r="N10" s="13">
        <f t="shared" si="0"/>
        <v>55733.333333333328</v>
      </c>
      <c r="O10" s="13">
        <v>36.914082795698931</v>
      </c>
      <c r="P10" s="13">
        <v>701367.57311827957</v>
      </c>
      <c r="Q10" s="13">
        <f t="shared" si="1"/>
        <v>39.847416129032261</v>
      </c>
      <c r="R10" s="16">
        <f t="shared" si="2"/>
        <v>757100.90645161294</v>
      </c>
      <c r="S10" s="7"/>
      <c r="W10" s="17"/>
      <c r="Y10" s="18"/>
    </row>
    <row r="11" spans="1:25" ht="30" x14ac:dyDescent="0.45">
      <c r="A11" s="11">
        <v>6</v>
      </c>
      <c r="B11" s="12" t="s">
        <v>29</v>
      </c>
      <c r="C11" s="12" t="s">
        <v>24</v>
      </c>
      <c r="D11" s="19">
        <v>21000</v>
      </c>
      <c r="E11" s="19">
        <v>15</v>
      </c>
      <c r="F11" s="19">
        <v>60</v>
      </c>
      <c r="G11" s="19">
        <v>900</v>
      </c>
      <c r="H11" s="19">
        <v>18900000</v>
      </c>
      <c r="I11" s="51">
        <v>47</v>
      </c>
      <c r="J11" s="14">
        <v>52.86</v>
      </c>
      <c r="K11" s="14">
        <v>2484.42</v>
      </c>
      <c r="L11" s="13">
        <v>52172820</v>
      </c>
      <c r="M11" s="15">
        <v>2.8333333333333335</v>
      </c>
      <c r="N11" s="13">
        <f t="shared" si="0"/>
        <v>59500</v>
      </c>
      <c r="O11" s="13">
        <v>1105.3939283836005</v>
      </c>
      <c r="P11" s="13">
        <v>23213272.496055607</v>
      </c>
      <c r="Q11" s="13">
        <f t="shared" si="1"/>
        <v>1108.2272617169338</v>
      </c>
      <c r="R11" s="16">
        <f t="shared" si="2"/>
        <v>23272772.496055607</v>
      </c>
      <c r="S11" s="7"/>
      <c r="W11" s="17"/>
      <c r="Y11" s="18"/>
    </row>
    <row r="12" spans="1:25" ht="30" x14ac:dyDescent="0.45">
      <c r="A12" s="20">
        <v>7</v>
      </c>
      <c r="B12" s="12" t="s">
        <v>30</v>
      </c>
      <c r="C12" s="12" t="s">
        <v>24</v>
      </c>
      <c r="D12" s="13">
        <v>19000</v>
      </c>
      <c r="E12" s="13">
        <v>2</v>
      </c>
      <c r="F12" s="13">
        <v>60</v>
      </c>
      <c r="G12" s="13">
        <v>120</v>
      </c>
      <c r="H12" s="13">
        <v>2280000</v>
      </c>
      <c r="I12" s="51">
        <v>3</v>
      </c>
      <c r="J12" s="14">
        <v>52.86</v>
      </c>
      <c r="K12" s="14">
        <v>158.57999999999998</v>
      </c>
      <c r="L12" s="13">
        <v>3013019.9999999995</v>
      </c>
      <c r="M12" s="15">
        <v>1</v>
      </c>
      <c r="N12" s="13">
        <f t="shared" si="0"/>
        <v>19000</v>
      </c>
      <c r="O12" s="13">
        <v>26.146633333333334</v>
      </c>
      <c r="P12" s="13">
        <v>496786.03333333333</v>
      </c>
      <c r="Q12" s="13">
        <f t="shared" si="1"/>
        <v>27.146633333333334</v>
      </c>
      <c r="R12" s="16">
        <f t="shared" si="2"/>
        <v>515786.03333333333</v>
      </c>
      <c r="S12" s="7"/>
      <c r="W12" s="17"/>
      <c r="Y12" s="18"/>
    </row>
    <row r="13" spans="1:25" ht="30" x14ac:dyDescent="0.45">
      <c r="A13" s="20">
        <v>8</v>
      </c>
      <c r="B13" s="12" t="s">
        <v>31</v>
      </c>
      <c r="C13" s="12" t="s">
        <v>24</v>
      </c>
      <c r="D13" s="19">
        <v>21000</v>
      </c>
      <c r="E13" s="19">
        <v>6</v>
      </c>
      <c r="F13" s="19">
        <v>60</v>
      </c>
      <c r="G13" s="19">
        <v>360</v>
      </c>
      <c r="H13" s="19">
        <v>7560000</v>
      </c>
      <c r="I13" s="51">
        <v>15</v>
      </c>
      <c r="J13" s="14">
        <v>52.86</v>
      </c>
      <c r="K13" s="14">
        <v>792.9</v>
      </c>
      <c r="L13" s="13">
        <v>16650900</v>
      </c>
      <c r="M13" s="15">
        <v>0</v>
      </c>
      <c r="N13" s="13">
        <f t="shared" si="0"/>
        <v>0</v>
      </c>
      <c r="O13" s="13">
        <v>273.46167789660461</v>
      </c>
      <c r="P13" s="13">
        <v>5742695.2358286958</v>
      </c>
      <c r="Q13" s="13">
        <f t="shared" si="1"/>
        <v>273.46167789660461</v>
      </c>
      <c r="R13" s="16">
        <f t="shared" si="2"/>
        <v>5742695.2358286958</v>
      </c>
      <c r="S13" s="7"/>
      <c r="W13" s="17"/>
      <c r="Y13" s="18"/>
    </row>
    <row r="14" spans="1:25" ht="30" x14ac:dyDescent="0.45">
      <c r="A14" s="20">
        <v>9</v>
      </c>
      <c r="B14" s="21" t="s">
        <v>32</v>
      </c>
      <c r="C14" s="21" t="s">
        <v>24</v>
      </c>
      <c r="D14" s="22">
        <v>19000</v>
      </c>
      <c r="E14" s="22">
        <v>2</v>
      </c>
      <c r="F14" s="22">
        <v>60</v>
      </c>
      <c r="G14" s="22">
        <v>120</v>
      </c>
      <c r="H14" s="22">
        <v>2280000</v>
      </c>
      <c r="I14" s="52">
        <v>3</v>
      </c>
      <c r="J14" s="23">
        <v>52.86</v>
      </c>
      <c r="K14" s="23">
        <v>158.57999999999998</v>
      </c>
      <c r="L14" s="22">
        <v>3013019.9999999995</v>
      </c>
      <c r="M14" s="24">
        <v>1</v>
      </c>
      <c r="N14" s="22">
        <f t="shared" si="0"/>
        <v>19000</v>
      </c>
      <c r="O14" s="22">
        <v>20.834301075268815</v>
      </c>
      <c r="P14" s="13">
        <v>395851.72043010744</v>
      </c>
      <c r="Q14" s="22">
        <f t="shared" si="1"/>
        <v>21.834301075268815</v>
      </c>
      <c r="R14" s="16">
        <f t="shared" si="2"/>
        <v>414851.72043010744</v>
      </c>
      <c r="S14" s="7"/>
      <c r="W14" s="17"/>
      <c r="Y14" s="18"/>
    </row>
    <row r="15" spans="1:25" ht="30" x14ac:dyDescent="0.45">
      <c r="A15" s="20">
        <v>10</v>
      </c>
      <c r="B15" s="21" t="s">
        <v>33</v>
      </c>
      <c r="C15" s="21" t="s">
        <v>24</v>
      </c>
      <c r="D15" s="25">
        <v>21000</v>
      </c>
      <c r="E15" s="25">
        <v>5</v>
      </c>
      <c r="F15" s="25">
        <v>60</v>
      </c>
      <c r="G15" s="25">
        <v>300</v>
      </c>
      <c r="H15" s="25">
        <v>6300000</v>
      </c>
      <c r="I15" s="52">
        <v>14</v>
      </c>
      <c r="J15" s="23">
        <v>52.86</v>
      </c>
      <c r="K15" s="23">
        <v>740.04</v>
      </c>
      <c r="L15" s="22">
        <v>15540840</v>
      </c>
      <c r="M15" s="24">
        <v>11.366666666666667</v>
      </c>
      <c r="N15" s="22">
        <f t="shared" si="0"/>
        <v>238700</v>
      </c>
      <c r="O15" s="22">
        <v>221.70099272503842</v>
      </c>
      <c r="P15" s="13">
        <v>4655720.8472258057</v>
      </c>
      <c r="Q15" s="22">
        <f t="shared" si="1"/>
        <v>233.06765939170509</v>
      </c>
      <c r="R15" s="16">
        <f t="shared" si="2"/>
        <v>4894420.8472258057</v>
      </c>
      <c r="S15" s="7"/>
      <c r="W15" s="17"/>
      <c r="Y15" s="17"/>
    </row>
    <row r="16" spans="1:25" ht="30" x14ac:dyDescent="0.45">
      <c r="A16" s="20">
        <v>11</v>
      </c>
      <c r="B16" s="12" t="s">
        <v>34</v>
      </c>
      <c r="C16" s="12" t="s">
        <v>24</v>
      </c>
      <c r="D16" s="13">
        <v>18000</v>
      </c>
      <c r="E16" s="13">
        <v>2</v>
      </c>
      <c r="F16" s="13">
        <v>60</v>
      </c>
      <c r="G16" s="13">
        <v>120</v>
      </c>
      <c r="H16" s="13">
        <v>2160000</v>
      </c>
      <c r="I16" s="51">
        <v>4</v>
      </c>
      <c r="J16" s="14">
        <v>52.86</v>
      </c>
      <c r="K16" s="14">
        <v>211.44</v>
      </c>
      <c r="L16" s="13">
        <v>3805920</v>
      </c>
      <c r="M16" s="15">
        <v>2.1666666666666665</v>
      </c>
      <c r="N16" s="13">
        <f t="shared" si="0"/>
        <v>39000</v>
      </c>
      <c r="O16" s="13">
        <v>94.932774754168548</v>
      </c>
      <c r="P16" s="13">
        <v>1708789.945575034</v>
      </c>
      <c r="Q16" s="13">
        <f t="shared" si="1"/>
        <v>97.09944142083522</v>
      </c>
      <c r="R16" s="16">
        <f t="shared" si="2"/>
        <v>1747789.945575034</v>
      </c>
      <c r="S16" s="7"/>
      <c r="W16" s="17"/>
      <c r="Y16" s="18"/>
    </row>
    <row r="17" spans="1:25" ht="30" x14ac:dyDescent="0.45">
      <c r="A17" s="20">
        <v>12</v>
      </c>
      <c r="B17" s="12" t="s">
        <v>35</v>
      </c>
      <c r="C17" s="12" t="s">
        <v>24</v>
      </c>
      <c r="D17" s="19">
        <v>21000</v>
      </c>
      <c r="E17" s="19">
        <v>5</v>
      </c>
      <c r="F17" s="19">
        <v>60</v>
      </c>
      <c r="G17" s="19">
        <v>300</v>
      </c>
      <c r="H17" s="19">
        <v>6300000</v>
      </c>
      <c r="I17" s="51">
        <v>11</v>
      </c>
      <c r="J17" s="14">
        <v>52.86</v>
      </c>
      <c r="K17" s="14">
        <v>581.46</v>
      </c>
      <c r="L17" s="13">
        <v>12210660</v>
      </c>
      <c r="M17" s="15">
        <v>6.9</v>
      </c>
      <c r="N17" s="13">
        <f t="shared" si="0"/>
        <v>144900</v>
      </c>
      <c r="O17" s="13">
        <v>170.19391705069123</v>
      </c>
      <c r="P17" s="13">
        <v>3574072.2580645168</v>
      </c>
      <c r="Q17" s="13">
        <f t="shared" si="1"/>
        <v>177.09391705069123</v>
      </c>
      <c r="R17" s="16">
        <f t="shared" si="2"/>
        <v>3718972.2580645168</v>
      </c>
      <c r="S17" s="7"/>
      <c r="W17" s="17"/>
      <c r="Y17" s="18"/>
    </row>
    <row r="18" spans="1:25" ht="30" x14ac:dyDescent="0.45">
      <c r="A18" s="20">
        <v>13</v>
      </c>
      <c r="B18" s="12" t="s">
        <v>36</v>
      </c>
      <c r="C18" s="12" t="s">
        <v>24</v>
      </c>
      <c r="D18" s="13">
        <v>42000</v>
      </c>
      <c r="E18" s="13">
        <v>1</v>
      </c>
      <c r="F18" s="13">
        <v>60</v>
      </c>
      <c r="G18" s="13">
        <v>60</v>
      </c>
      <c r="H18" s="13">
        <v>2520000</v>
      </c>
      <c r="I18" s="51">
        <v>0</v>
      </c>
      <c r="J18" s="14">
        <v>52.86</v>
      </c>
      <c r="K18" s="14">
        <v>0</v>
      </c>
      <c r="L18" s="13">
        <v>0</v>
      </c>
      <c r="M18" s="15">
        <v>0</v>
      </c>
      <c r="N18" s="13">
        <f t="shared" si="0"/>
        <v>0</v>
      </c>
      <c r="O18" s="13">
        <v>0</v>
      </c>
      <c r="P18" s="13">
        <v>0</v>
      </c>
      <c r="Q18" s="13">
        <f t="shared" si="1"/>
        <v>0</v>
      </c>
      <c r="R18" s="16">
        <f t="shared" si="2"/>
        <v>0</v>
      </c>
      <c r="S18" s="7"/>
      <c r="W18" s="17"/>
      <c r="Y18" s="18"/>
    </row>
    <row r="19" spans="1:25" ht="30" x14ac:dyDescent="0.45">
      <c r="A19" s="20">
        <v>14</v>
      </c>
      <c r="B19" s="21" t="s">
        <v>37</v>
      </c>
      <c r="C19" s="21" t="s">
        <v>24</v>
      </c>
      <c r="D19" s="25">
        <v>21000</v>
      </c>
      <c r="E19" s="25">
        <v>1</v>
      </c>
      <c r="F19" s="25">
        <v>60</v>
      </c>
      <c r="G19" s="25">
        <v>60</v>
      </c>
      <c r="H19" s="25">
        <v>1260000</v>
      </c>
      <c r="I19" s="52">
        <v>0</v>
      </c>
      <c r="J19" s="23">
        <v>52.86</v>
      </c>
      <c r="K19" s="23">
        <v>0</v>
      </c>
      <c r="L19" s="22">
        <v>0</v>
      </c>
      <c r="M19" s="24">
        <v>0</v>
      </c>
      <c r="N19" s="22">
        <f t="shared" si="0"/>
        <v>0</v>
      </c>
      <c r="O19" s="22">
        <v>0</v>
      </c>
      <c r="P19" s="13">
        <v>0</v>
      </c>
      <c r="Q19" s="22">
        <f t="shared" si="1"/>
        <v>0</v>
      </c>
      <c r="R19" s="16">
        <f t="shared" si="2"/>
        <v>0</v>
      </c>
      <c r="S19" s="7"/>
      <c r="W19" s="17"/>
      <c r="Y19" s="18"/>
    </row>
    <row r="20" spans="1:25" ht="30" x14ac:dyDescent="0.45">
      <c r="A20" s="20">
        <v>15</v>
      </c>
      <c r="B20" s="12" t="s">
        <v>38</v>
      </c>
      <c r="C20" s="12" t="s">
        <v>24</v>
      </c>
      <c r="D20" s="13">
        <v>26000</v>
      </c>
      <c r="E20" s="13">
        <v>2</v>
      </c>
      <c r="F20" s="13">
        <v>60</v>
      </c>
      <c r="G20" s="13">
        <v>120</v>
      </c>
      <c r="H20" s="13">
        <v>3120000</v>
      </c>
      <c r="I20" s="51">
        <v>5</v>
      </c>
      <c r="J20" s="14">
        <v>52.86</v>
      </c>
      <c r="K20" s="14">
        <v>264.3</v>
      </c>
      <c r="L20" s="13">
        <v>6871800</v>
      </c>
      <c r="M20" s="15">
        <v>3.3</v>
      </c>
      <c r="N20" s="13">
        <f t="shared" si="0"/>
        <v>85800</v>
      </c>
      <c r="O20" s="13">
        <v>87.968609563440836</v>
      </c>
      <c r="P20" s="13">
        <v>2287183.8486494613</v>
      </c>
      <c r="Q20" s="13">
        <f t="shared" si="1"/>
        <v>91.268609563440833</v>
      </c>
      <c r="R20" s="16">
        <f t="shared" si="2"/>
        <v>2372983.8486494613</v>
      </c>
      <c r="S20" s="7"/>
      <c r="W20" s="17"/>
      <c r="Y20" s="18"/>
    </row>
    <row r="21" spans="1:25" ht="30" x14ac:dyDescent="0.45">
      <c r="A21" s="20">
        <v>16</v>
      </c>
      <c r="B21" s="12" t="s">
        <v>39</v>
      </c>
      <c r="C21" s="12" t="s">
        <v>24</v>
      </c>
      <c r="D21" s="19">
        <v>19000</v>
      </c>
      <c r="E21" s="19">
        <v>1</v>
      </c>
      <c r="F21" s="19">
        <v>60</v>
      </c>
      <c r="G21" s="19">
        <v>60</v>
      </c>
      <c r="H21" s="19">
        <v>1140000</v>
      </c>
      <c r="I21" s="51">
        <v>2</v>
      </c>
      <c r="J21" s="14">
        <v>52.86</v>
      </c>
      <c r="K21" s="14">
        <v>105.72</v>
      </c>
      <c r="L21" s="13">
        <v>2008680</v>
      </c>
      <c r="M21" s="15">
        <v>1.9</v>
      </c>
      <c r="N21" s="13">
        <f t="shared" si="0"/>
        <v>36100</v>
      </c>
      <c r="O21" s="13">
        <v>25.644076344086024</v>
      </c>
      <c r="P21" s="13">
        <v>487237.45053763437</v>
      </c>
      <c r="Q21" s="13">
        <f t="shared" si="1"/>
        <v>27.544076344086022</v>
      </c>
      <c r="R21" s="16">
        <f t="shared" si="2"/>
        <v>523337.45053763437</v>
      </c>
      <c r="S21" s="7"/>
      <c r="Y21" s="17"/>
    </row>
    <row r="22" spans="1:25" ht="30" x14ac:dyDescent="0.25">
      <c r="A22" s="20">
        <v>17</v>
      </c>
      <c r="B22" s="12" t="s">
        <v>40</v>
      </c>
      <c r="C22" s="12" t="s">
        <v>24</v>
      </c>
      <c r="D22" s="13">
        <v>21000</v>
      </c>
      <c r="E22" s="13">
        <v>1</v>
      </c>
      <c r="F22" s="13">
        <v>60</v>
      </c>
      <c r="G22" s="13">
        <v>60</v>
      </c>
      <c r="H22" s="13">
        <v>1260000</v>
      </c>
      <c r="I22" s="51">
        <v>2</v>
      </c>
      <c r="J22" s="14">
        <v>52.86</v>
      </c>
      <c r="K22" s="14">
        <v>105.72</v>
      </c>
      <c r="L22" s="13">
        <v>2220120</v>
      </c>
      <c r="M22" s="15">
        <v>0.7</v>
      </c>
      <c r="N22" s="13">
        <f t="shared" si="0"/>
        <v>14699.999999999998</v>
      </c>
      <c r="O22" s="13">
        <v>33.491935483870961</v>
      </c>
      <c r="P22" s="13">
        <v>703330.6451612903</v>
      </c>
      <c r="Q22" s="13">
        <f t="shared" si="1"/>
        <v>34.191935483870964</v>
      </c>
      <c r="R22" s="16">
        <f t="shared" si="2"/>
        <v>718030.6451612903</v>
      </c>
      <c r="S22" s="7"/>
    </row>
    <row r="23" spans="1:25" ht="30" x14ac:dyDescent="0.25">
      <c r="A23" s="20">
        <v>18</v>
      </c>
      <c r="B23" s="12" t="s">
        <v>41</v>
      </c>
      <c r="C23" s="12" t="s">
        <v>24</v>
      </c>
      <c r="D23" s="19">
        <v>40000</v>
      </c>
      <c r="E23" s="19">
        <v>1</v>
      </c>
      <c r="F23" s="19">
        <v>60</v>
      </c>
      <c r="G23" s="19">
        <v>60</v>
      </c>
      <c r="H23" s="19">
        <v>2400000</v>
      </c>
      <c r="I23" s="51">
        <v>0</v>
      </c>
      <c r="J23" s="14">
        <v>52.86</v>
      </c>
      <c r="K23" s="14">
        <v>0</v>
      </c>
      <c r="L23" s="13">
        <v>0</v>
      </c>
      <c r="M23" s="15">
        <v>0</v>
      </c>
      <c r="N23" s="13">
        <f t="shared" si="0"/>
        <v>0</v>
      </c>
      <c r="O23" s="13">
        <v>0</v>
      </c>
      <c r="P23" s="13">
        <v>0</v>
      </c>
      <c r="Q23" s="13">
        <f t="shared" si="1"/>
        <v>0</v>
      </c>
      <c r="R23" s="16">
        <f t="shared" si="2"/>
        <v>0</v>
      </c>
      <c r="S23" s="7"/>
    </row>
    <row r="24" spans="1:25" ht="30" x14ac:dyDescent="0.25">
      <c r="A24" s="20">
        <v>19</v>
      </c>
      <c r="B24" s="12" t="s">
        <v>42</v>
      </c>
      <c r="C24" s="12" t="s">
        <v>24</v>
      </c>
      <c r="D24" s="13">
        <v>21000</v>
      </c>
      <c r="E24" s="13">
        <v>1</v>
      </c>
      <c r="F24" s="13">
        <v>60</v>
      </c>
      <c r="G24" s="13">
        <v>60</v>
      </c>
      <c r="H24" s="13">
        <v>1260000</v>
      </c>
      <c r="I24" s="51">
        <v>0</v>
      </c>
      <c r="J24" s="14">
        <v>52.86</v>
      </c>
      <c r="K24" s="14">
        <v>0</v>
      </c>
      <c r="L24" s="13">
        <v>0</v>
      </c>
      <c r="M24" s="15">
        <v>0</v>
      </c>
      <c r="N24" s="13">
        <f t="shared" si="0"/>
        <v>0</v>
      </c>
      <c r="O24" s="13">
        <v>0</v>
      </c>
      <c r="P24" s="13">
        <v>0</v>
      </c>
      <c r="Q24" s="13">
        <f t="shared" si="1"/>
        <v>0</v>
      </c>
      <c r="R24" s="16">
        <f t="shared" si="2"/>
        <v>0</v>
      </c>
      <c r="S24" s="7"/>
    </row>
    <row r="25" spans="1:25" ht="30" x14ac:dyDescent="0.25">
      <c r="A25" s="20">
        <v>20</v>
      </c>
      <c r="B25" s="12" t="s">
        <v>43</v>
      </c>
      <c r="C25" s="12" t="s">
        <v>24</v>
      </c>
      <c r="D25" s="19">
        <v>23000</v>
      </c>
      <c r="E25" s="19">
        <v>1</v>
      </c>
      <c r="F25" s="19">
        <v>60</v>
      </c>
      <c r="G25" s="19">
        <v>60</v>
      </c>
      <c r="H25" s="19">
        <v>1380000</v>
      </c>
      <c r="I25" s="51">
        <v>0</v>
      </c>
      <c r="J25" s="14">
        <v>52.86</v>
      </c>
      <c r="K25" s="14">
        <v>0</v>
      </c>
      <c r="L25" s="13">
        <v>0</v>
      </c>
      <c r="M25" s="15">
        <v>0</v>
      </c>
      <c r="N25" s="13">
        <f t="shared" si="0"/>
        <v>0</v>
      </c>
      <c r="O25" s="13">
        <v>0</v>
      </c>
      <c r="P25" s="13">
        <v>0</v>
      </c>
      <c r="Q25" s="13">
        <f t="shared" si="1"/>
        <v>0</v>
      </c>
      <c r="R25" s="16">
        <f t="shared" si="2"/>
        <v>0</v>
      </c>
      <c r="S25" s="7"/>
    </row>
    <row r="26" spans="1:25" ht="30" x14ac:dyDescent="0.25">
      <c r="A26" s="20">
        <v>21</v>
      </c>
      <c r="B26" s="12" t="s">
        <v>44</v>
      </c>
      <c r="C26" s="12" t="s">
        <v>24</v>
      </c>
      <c r="D26" s="19">
        <v>15000</v>
      </c>
      <c r="E26" s="19">
        <v>1</v>
      </c>
      <c r="F26" s="19">
        <v>60</v>
      </c>
      <c r="G26" s="19"/>
      <c r="H26" s="19">
        <v>900000</v>
      </c>
      <c r="I26" s="51">
        <v>4</v>
      </c>
      <c r="J26" s="14">
        <v>52.86</v>
      </c>
      <c r="K26" s="14"/>
      <c r="L26" s="13">
        <v>3171600</v>
      </c>
      <c r="M26" s="15">
        <v>5.5</v>
      </c>
      <c r="N26" s="13">
        <f t="shared" si="0"/>
        <v>82500</v>
      </c>
      <c r="O26" s="13">
        <v>155.3541352688172</v>
      </c>
      <c r="P26" s="13">
        <v>2330312.0290322579</v>
      </c>
      <c r="Q26" s="13">
        <f t="shared" si="1"/>
        <v>160.8541352688172</v>
      </c>
      <c r="R26" s="16">
        <f t="shared" si="2"/>
        <v>2412812.0290322579</v>
      </c>
      <c r="S26" s="7"/>
    </row>
    <row r="27" spans="1:25" ht="30" x14ac:dyDescent="0.25">
      <c r="A27" s="20">
        <v>22</v>
      </c>
      <c r="B27" s="12" t="s">
        <v>45</v>
      </c>
      <c r="C27" s="12" t="s">
        <v>24</v>
      </c>
      <c r="D27" s="19">
        <v>17000</v>
      </c>
      <c r="E27" s="19">
        <v>2</v>
      </c>
      <c r="F27" s="19">
        <v>60</v>
      </c>
      <c r="G27" s="19"/>
      <c r="H27" s="19">
        <v>2040000</v>
      </c>
      <c r="I27" s="51">
        <v>14</v>
      </c>
      <c r="J27" s="14">
        <v>52.86</v>
      </c>
      <c r="K27" s="14"/>
      <c r="L27" s="13">
        <v>12580680</v>
      </c>
      <c r="M27" s="15">
        <v>15.1</v>
      </c>
      <c r="N27" s="13">
        <f t="shared" si="0"/>
        <v>256700</v>
      </c>
      <c r="O27" s="13">
        <v>322.14910619124424</v>
      </c>
      <c r="P27" s="13">
        <v>5476534.8052511523</v>
      </c>
      <c r="Q27" s="13">
        <f t="shared" si="1"/>
        <v>337.24910619124427</v>
      </c>
      <c r="R27" s="16">
        <f t="shared" si="2"/>
        <v>5733234.8052511523</v>
      </c>
      <c r="S27" s="7"/>
    </row>
    <row r="28" spans="1:25" ht="30" x14ac:dyDescent="0.25">
      <c r="A28" s="20">
        <v>23</v>
      </c>
      <c r="B28" s="12" t="s">
        <v>46</v>
      </c>
      <c r="C28" s="12" t="s">
        <v>24</v>
      </c>
      <c r="D28" s="19">
        <v>12000</v>
      </c>
      <c r="E28" s="19">
        <v>7</v>
      </c>
      <c r="F28" s="19">
        <v>60</v>
      </c>
      <c r="G28" s="19"/>
      <c r="H28" s="19">
        <v>5040000</v>
      </c>
      <c r="I28" s="51">
        <v>16</v>
      </c>
      <c r="J28" s="14">
        <v>52.86</v>
      </c>
      <c r="K28" s="14"/>
      <c r="L28" s="13">
        <v>10149120</v>
      </c>
      <c r="M28" s="15">
        <v>2.0666666666666669</v>
      </c>
      <c r="N28" s="13">
        <f t="shared" si="0"/>
        <v>24800.000000000004</v>
      </c>
      <c r="O28" s="13">
        <v>437.98878450462354</v>
      </c>
      <c r="P28" s="13">
        <v>5255865.4140554825</v>
      </c>
      <c r="Q28" s="13">
        <f t="shared" si="1"/>
        <v>440.0554511712902</v>
      </c>
      <c r="R28" s="16">
        <f t="shared" si="2"/>
        <v>5280665.4140554825</v>
      </c>
      <c r="S28" s="7"/>
    </row>
    <row r="29" spans="1:25" ht="30" x14ac:dyDescent="0.25">
      <c r="A29" s="20">
        <v>24</v>
      </c>
      <c r="B29" s="12" t="s">
        <v>47</v>
      </c>
      <c r="C29" s="12" t="s">
        <v>24</v>
      </c>
      <c r="D29" s="13">
        <v>12000</v>
      </c>
      <c r="E29" s="13">
        <v>25</v>
      </c>
      <c r="F29" s="13">
        <v>60</v>
      </c>
      <c r="G29" s="13">
        <v>1500</v>
      </c>
      <c r="H29" s="13">
        <v>18000000</v>
      </c>
      <c r="I29" s="51">
        <v>74</v>
      </c>
      <c r="J29" s="14">
        <v>52.86</v>
      </c>
      <c r="K29" s="14">
        <v>3911.64</v>
      </c>
      <c r="L29" s="13">
        <v>46939680</v>
      </c>
      <c r="M29" s="15">
        <v>66.233333333333334</v>
      </c>
      <c r="N29" s="13">
        <f t="shared" si="0"/>
        <v>794800</v>
      </c>
      <c r="O29" s="13">
        <v>1385.7394388823495</v>
      </c>
      <c r="P29" s="13">
        <v>16628873.266588194</v>
      </c>
      <c r="Q29" s="13">
        <f t="shared" si="1"/>
        <v>1451.9727722156829</v>
      </c>
      <c r="R29" s="16">
        <f t="shared" si="2"/>
        <v>17423673.266588196</v>
      </c>
      <c r="S29" s="7"/>
    </row>
    <row r="30" spans="1:25" ht="30" x14ac:dyDescent="0.25">
      <c r="A30" s="20">
        <v>25</v>
      </c>
      <c r="B30" s="12" t="s">
        <v>48</v>
      </c>
      <c r="C30" s="12" t="s">
        <v>24</v>
      </c>
      <c r="D30" s="13">
        <v>11000</v>
      </c>
      <c r="E30" s="13">
        <v>2</v>
      </c>
      <c r="F30" s="13">
        <v>60</v>
      </c>
      <c r="G30" s="13"/>
      <c r="H30" s="13">
        <v>1320000</v>
      </c>
      <c r="I30" s="51">
        <v>4</v>
      </c>
      <c r="J30" s="14">
        <v>52.86</v>
      </c>
      <c r="K30" s="14"/>
      <c r="L30" s="13">
        <v>2325840</v>
      </c>
      <c r="M30" s="15">
        <v>0.96666666666666667</v>
      </c>
      <c r="N30" s="13">
        <f t="shared" si="0"/>
        <v>10633.333333333334</v>
      </c>
      <c r="O30" s="13">
        <v>86.771693732718887</v>
      </c>
      <c r="P30" s="13">
        <v>954488.63105990773</v>
      </c>
      <c r="Q30" s="13">
        <f t="shared" si="1"/>
        <v>87.738360399385556</v>
      </c>
      <c r="R30" s="16">
        <f t="shared" si="2"/>
        <v>965121.9643932411</v>
      </c>
      <c r="S30" s="7"/>
    </row>
    <row r="31" spans="1:25" ht="30" x14ac:dyDescent="0.25">
      <c r="A31" s="20">
        <v>26</v>
      </c>
      <c r="B31" s="12" t="s">
        <v>49</v>
      </c>
      <c r="C31" s="12" t="s">
        <v>24</v>
      </c>
      <c r="D31" s="13">
        <v>13000</v>
      </c>
      <c r="E31" s="13">
        <v>7</v>
      </c>
      <c r="F31" s="13">
        <v>60</v>
      </c>
      <c r="G31" s="13"/>
      <c r="H31" s="13">
        <v>5460000</v>
      </c>
      <c r="I31" s="51">
        <v>50</v>
      </c>
      <c r="J31" s="14">
        <v>52.86</v>
      </c>
      <c r="K31" s="14"/>
      <c r="L31" s="13">
        <v>34359000</v>
      </c>
      <c r="M31" s="15">
        <v>33.833333333333336</v>
      </c>
      <c r="N31" s="13">
        <f t="shared" si="0"/>
        <v>439833.33333333337</v>
      </c>
      <c r="O31" s="13">
        <v>1282.5936005538413</v>
      </c>
      <c r="P31" s="13">
        <v>16673716.807199934</v>
      </c>
      <c r="Q31" s="13">
        <f t="shared" si="1"/>
        <v>1316.4269338871745</v>
      </c>
      <c r="R31" s="16">
        <f t="shared" si="2"/>
        <v>17113550.140533268</v>
      </c>
      <c r="S31" s="7"/>
    </row>
    <row r="32" spans="1:25" ht="30" x14ac:dyDescent="0.25">
      <c r="A32" s="20">
        <v>27</v>
      </c>
      <c r="B32" s="12" t="s">
        <v>50</v>
      </c>
      <c r="C32" s="12" t="s">
        <v>24</v>
      </c>
      <c r="D32" s="13">
        <v>11000</v>
      </c>
      <c r="E32" s="13">
        <v>2</v>
      </c>
      <c r="F32" s="13">
        <v>60</v>
      </c>
      <c r="G32" s="13"/>
      <c r="H32" s="13">
        <v>1320000</v>
      </c>
      <c r="I32" s="51">
        <v>16</v>
      </c>
      <c r="J32" s="14">
        <v>52.86</v>
      </c>
      <c r="K32" s="14"/>
      <c r="L32" s="13">
        <v>9303360</v>
      </c>
      <c r="M32" s="15">
        <v>19.666666666666668</v>
      </c>
      <c r="N32" s="13">
        <f t="shared" si="0"/>
        <v>216333.33333333334</v>
      </c>
      <c r="O32" s="13">
        <v>414.05001241655282</v>
      </c>
      <c r="P32" s="13">
        <v>4554550.1365820812</v>
      </c>
      <c r="Q32" s="13">
        <f t="shared" si="1"/>
        <v>433.7166790832195</v>
      </c>
      <c r="R32" s="16">
        <f t="shared" si="2"/>
        <v>4770883.4699154142</v>
      </c>
      <c r="S32" s="7"/>
    </row>
    <row r="33" spans="1:19" ht="30" x14ac:dyDescent="0.25">
      <c r="A33" s="20">
        <v>28</v>
      </c>
      <c r="B33" s="12" t="s">
        <v>51</v>
      </c>
      <c r="C33" s="12" t="s">
        <v>24</v>
      </c>
      <c r="D33" s="13">
        <v>12000</v>
      </c>
      <c r="E33" s="13">
        <v>8</v>
      </c>
      <c r="F33" s="13">
        <v>60</v>
      </c>
      <c r="G33" s="13"/>
      <c r="H33" s="13">
        <v>5760000</v>
      </c>
      <c r="I33" s="51">
        <v>26</v>
      </c>
      <c r="J33" s="14">
        <v>52.86</v>
      </c>
      <c r="K33" s="14"/>
      <c r="L33" s="13">
        <v>16492319.999999998</v>
      </c>
      <c r="M33" s="15">
        <v>23.933333333333334</v>
      </c>
      <c r="N33" s="13">
        <f t="shared" si="0"/>
        <v>287200</v>
      </c>
      <c r="O33" s="13">
        <v>390.28000093502516</v>
      </c>
      <c r="P33" s="13">
        <v>4683360.0112203015</v>
      </c>
      <c r="Q33" s="13">
        <f t="shared" si="1"/>
        <v>414.21333426835849</v>
      </c>
      <c r="R33" s="16">
        <f t="shared" si="2"/>
        <v>4970560.0112203015</v>
      </c>
      <c r="S33" s="7"/>
    </row>
    <row r="34" spans="1:19" ht="30" x14ac:dyDescent="0.25">
      <c r="A34" s="20">
        <v>29</v>
      </c>
      <c r="B34" s="12" t="s">
        <v>52</v>
      </c>
      <c r="C34" s="12" t="s">
        <v>24</v>
      </c>
      <c r="D34" s="19">
        <v>10000</v>
      </c>
      <c r="E34" s="19">
        <v>1</v>
      </c>
      <c r="F34" s="19">
        <v>60</v>
      </c>
      <c r="G34" s="19">
        <v>60</v>
      </c>
      <c r="H34" s="19">
        <v>600000</v>
      </c>
      <c r="I34" s="51">
        <v>10</v>
      </c>
      <c r="J34" s="14">
        <v>52.86</v>
      </c>
      <c r="K34" s="14">
        <v>528.6</v>
      </c>
      <c r="L34" s="13">
        <v>5286000</v>
      </c>
      <c r="M34" s="15">
        <v>16.399999999999999</v>
      </c>
      <c r="N34" s="13">
        <f t="shared" si="0"/>
        <v>164000</v>
      </c>
      <c r="O34" s="13">
        <v>428.92419240132904</v>
      </c>
      <c r="P34" s="13">
        <v>4289241.9240132906</v>
      </c>
      <c r="Q34" s="13">
        <f t="shared" si="1"/>
        <v>445.32419240132901</v>
      </c>
      <c r="R34" s="16">
        <f t="shared" si="2"/>
        <v>4453241.9240132906</v>
      </c>
      <c r="S34" s="7"/>
    </row>
    <row r="35" spans="1:19" ht="30.6" thickBot="1" x14ac:dyDescent="0.3">
      <c r="A35" s="26">
        <v>30</v>
      </c>
      <c r="B35" s="27" t="s">
        <v>53</v>
      </c>
      <c r="C35" s="27" t="s">
        <v>24</v>
      </c>
      <c r="D35" s="28">
        <v>10000</v>
      </c>
      <c r="E35" s="28">
        <v>3</v>
      </c>
      <c r="F35" s="28">
        <v>60</v>
      </c>
      <c r="G35" s="28">
        <v>180</v>
      </c>
      <c r="H35" s="28">
        <v>1800000</v>
      </c>
      <c r="I35" s="53">
        <v>9.4076787741203187</v>
      </c>
      <c r="J35" s="29">
        <v>52.86</v>
      </c>
      <c r="K35" s="29">
        <v>497.28990000000005</v>
      </c>
      <c r="L35" s="28">
        <v>4972899</v>
      </c>
      <c r="M35" s="30">
        <v>1.6333333333333333</v>
      </c>
      <c r="N35" s="28">
        <f t="shared" si="0"/>
        <v>16333.333333333334</v>
      </c>
      <c r="O35" s="28">
        <v>268.7538387096775</v>
      </c>
      <c r="P35" s="13">
        <v>2687538.3870967748</v>
      </c>
      <c r="Q35" s="28">
        <f t="shared" si="1"/>
        <v>270.38717204301082</v>
      </c>
      <c r="R35" s="31">
        <f t="shared" si="2"/>
        <v>2703871.7204301083</v>
      </c>
      <c r="S35" s="7"/>
    </row>
    <row r="36" spans="1:19" ht="35.4" x14ac:dyDescent="0.25">
      <c r="A36" s="66" t="s">
        <v>54</v>
      </c>
      <c r="B36" s="67"/>
      <c r="C36" s="67"/>
      <c r="D36" s="67"/>
      <c r="E36" s="48"/>
      <c r="F36" s="48"/>
      <c r="G36" s="48"/>
      <c r="H36" s="54">
        <f>SUM(H6:H35)</f>
        <v>126000000</v>
      </c>
      <c r="I36" s="55"/>
      <c r="J36" s="33"/>
      <c r="K36" s="33">
        <f>SUM(K6:K35)</f>
        <v>12047.1999</v>
      </c>
      <c r="L36" s="34">
        <f>SUM(L6:L35)</f>
        <v>305111979</v>
      </c>
      <c r="M36" s="34"/>
      <c r="N36" s="35">
        <f>SUM(N6:N35)</f>
        <v>3224900.0000000005</v>
      </c>
      <c r="O36" s="34"/>
      <c r="P36" s="34">
        <f>SUM(P6:P35)</f>
        <v>125933481.23301803</v>
      </c>
      <c r="Q36" s="34"/>
      <c r="R36" s="36">
        <f>SUM(R6:R35)</f>
        <v>129158381.23301803</v>
      </c>
      <c r="S36" s="37"/>
    </row>
    <row r="37" spans="1:19" ht="35.4" x14ac:dyDescent="0.25">
      <c r="A37" s="68" t="s">
        <v>55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38">
        <f>L36*0.15</f>
        <v>45766796.850000001</v>
      </c>
      <c r="M37" s="39"/>
      <c r="N37" s="40">
        <f>N36*0.15</f>
        <v>483735.00000000006</v>
      </c>
      <c r="O37" s="40"/>
      <c r="P37" s="40">
        <f>P36*0.15</f>
        <v>18890022.184952702</v>
      </c>
      <c r="Q37" s="40"/>
      <c r="R37" s="41">
        <f>R36*0.15</f>
        <v>19373757.184952702</v>
      </c>
      <c r="S37" s="37"/>
    </row>
    <row r="38" spans="1:19" ht="35.4" x14ac:dyDescent="0.25">
      <c r="A38" s="68" t="s">
        <v>56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38">
        <f>L36+L37</f>
        <v>350878775.85000002</v>
      </c>
      <c r="M38" s="38"/>
      <c r="N38" s="38">
        <f>N36+N37</f>
        <v>3708635.0000000005</v>
      </c>
      <c r="O38" s="40"/>
      <c r="P38" s="40">
        <f>P36+P37</f>
        <v>144823503.41797072</v>
      </c>
      <c r="Q38" s="40"/>
      <c r="R38" s="41">
        <f>R36+R37</f>
        <v>148532138.41797072</v>
      </c>
      <c r="S38" s="37"/>
    </row>
    <row r="39" spans="1:19" ht="36" thickBot="1" x14ac:dyDescent="0.3">
      <c r="A39" s="71" t="s">
        <v>57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42"/>
      <c r="M39" s="43"/>
      <c r="N39" s="44">
        <f>N36/L36</f>
        <v>1.0569562068882259E-2</v>
      </c>
      <c r="O39" s="43"/>
      <c r="P39" s="44">
        <v>0.23952879231692664</v>
      </c>
      <c r="Q39" s="43"/>
      <c r="R39" s="45">
        <f>R36/L36</f>
        <v>0.42331468484565143</v>
      </c>
      <c r="S39" s="7"/>
    </row>
  </sheetData>
  <mergeCells count="21">
    <mergeCell ref="A39:K39"/>
    <mergeCell ref="M4:N4"/>
    <mergeCell ref="O4:P4"/>
    <mergeCell ref="Q4:R4"/>
    <mergeCell ref="A36:D36"/>
    <mergeCell ref="A37:K37"/>
    <mergeCell ref="A38:K38"/>
    <mergeCell ref="A4:A5"/>
    <mergeCell ref="B4:B5"/>
    <mergeCell ref="C4:C5"/>
    <mergeCell ref="D4:D5"/>
    <mergeCell ref="E4:H4"/>
    <mergeCell ref="I4:L4"/>
    <mergeCell ref="C3:N3"/>
    <mergeCell ref="O3:P3"/>
    <mergeCell ref="Q3:R3"/>
    <mergeCell ref="I1:N1"/>
    <mergeCell ref="O1:R1"/>
    <mergeCell ref="I2:N2"/>
    <mergeCell ref="O2:P2"/>
    <mergeCell ref="Q2:R2"/>
  </mergeCells>
  <printOptions horizontalCentered="1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ToTal_From PO_6_underway</vt:lpstr>
      <vt:lpstr>35</vt:lpstr>
      <vt:lpstr>34</vt:lpstr>
      <vt:lpstr>33</vt:lpstr>
      <vt:lpstr>32</vt:lpstr>
      <vt:lpstr>31</vt:lpstr>
      <vt:lpstr>30</vt:lpstr>
      <vt:lpstr>29</vt:lpstr>
      <vt:lpstr>28</vt:lpstr>
      <vt:lpstr>27_D</vt:lpstr>
      <vt:lpstr>'27_D'!Print_Area</vt:lpstr>
      <vt:lpstr>'28'!Print_Area</vt:lpstr>
      <vt:lpstr>'29'!Print_Area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'ToTal_From PO_6_underway'!Print_Area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Ahmed</dc:creator>
  <cp:lastModifiedBy>sadat Ahmed</cp:lastModifiedBy>
  <cp:lastPrinted>2026-08-04T06:25:33Z</cp:lastPrinted>
  <dcterms:created xsi:type="dcterms:W3CDTF">2026-07-20T08:35:47Z</dcterms:created>
  <dcterms:modified xsi:type="dcterms:W3CDTF">2026-08-20T11:23:45Z</dcterms:modified>
</cp:coreProperties>
</file>