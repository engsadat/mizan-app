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8ab1d38c575203a/Desktop/AI/HR/Invoices/"/>
    </mc:Choice>
  </mc:AlternateContent>
  <xr:revisionPtr revIDLastSave="0" documentId="8_{4D54D940-3A6F-44E4-A3DB-C07884B70BA2}" xr6:coauthVersionLast="47" xr6:coauthVersionMax="47" xr10:uidLastSave="{00000000-0000-0000-0000-000000000000}"/>
  <bookViews>
    <workbookView xWindow="-108" yWindow="-108" windowWidth="23256" windowHeight="13896" xr2:uid="{FF77FF52-9493-445D-A4A4-74A783CB70FC}"/>
  </bookViews>
  <sheets>
    <sheet name="1" sheetId="1" r:id="rId1"/>
  </sheets>
  <definedNames>
    <definedName name="_xlnm.Print_Area" localSheetId="0">'1'!$A$1:$L$36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5" i="1" l="1"/>
  <c r="K35" i="1"/>
  <c r="H34" i="1"/>
  <c r="K34" i="1"/>
  <c r="H33" i="1"/>
  <c r="K33" i="1"/>
  <c r="L33" i="1"/>
  <c r="L34" i="1" s="1"/>
  <c r="L35" i="1" s="1"/>
</calcChain>
</file>

<file path=xl/sharedStrings.xml><?xml version="1.0" encoding="utf-8"?>
<sst xmlns="http://schemas.openxmlformats.org/spreadsheetml/2006/main" count="76" uniqueCount="44">
  <si>
    <t>نسبة المستحق لاجمالي العقد</t>
  </si>
  <si>
    <t xml:space="preserve">الإجمـــــــــــــــــــــــــــــالي بعد اضافة 15% قيمة مضافة </t>
  </si>
  <si>
    <t>قيمة الضريبة  المضافة</t>
  </si>
  <si>
    <t>الإجمـــــــــــــــــــــــــــــالي</t>
  </si>
  <si>
    <t>عدد</t>
  </si>
  <si>
    <t>أخصائي وثائق E3</t>
  </si>
  <si>
    <t>أخصائي وثائق E2</t>
  </si>
  <si>
    <t>مراقب أمن وسلامة E3</t>
  </si>
  <si>
    <t>مراقب أمن وسلامة E2</t>
  </si>
  <si>
    <t>مساح E3</t>
  </si>
  <si>
    <t>مساح E2</t>
  </si>
  <si>
    <t>مراقب موقع E3</t>
  </si>
  <si>
    <t>مراقب موقع E2</t>
  </si>
  <si>
    <t>حاسب كميات E3</t>
  </si>
  <si>
    <t>حاسب كميات E2</t>
  </si>
  <si>
    <t>مهندس كيميائي E3</t>
  </si>
  <si>
    <t>مهندس كيميائي E2</t>
  </si>
  <si>
    <t>مهندس كيميائي E1</t>
  </si>
  <si>
    <t>مهندس مواد وجودة E3</t>
  </si>
  <si>
    <t>مهندس مواد وجودة E2</t>
  </si>
  <si>
    <t>مهندس تخطيط E3</t>
  </si>
  <si>
    <t>مهندس تخطيط E2</t>
  </si>
  <si>
    <t>مهندس تخطيط E1</t>
  </si>
  <si>
    <t>مهندس أمن وسلامة E3</t>
  </si>
  <si>
    <t>مهندس أمن وسلامة E2</t>
  </si>
  <si>
    <t>مهندس كهرباء وتحكم E3</t>
  </si>
  <si>
    <t>مهندس كهرباء وتحكم E2</t>
  </si>
  <si>
    <t>مهندس ميكانيكا E3</t>
  </si>
  <si>
    <t>مهندس ميكانيكا E2</t>
  </si>
  <si>
    <t>مهندس موقع E3</t>
  </si>
  <si>
    <t>مهندس موقع E2</t>
  </si>
  <si>
    <t>مهندس مقيم E3</t>
  </si>
  <si>
    <t>مهندس مقيم E2</t>
  </si>
  <si>
    <t>مهندس مقيم E1</t>
  </si>
  <si>
    <t>مدير المشروع</t>
  </si>
  <si>
    <t xml:space="preserve">المبلغ  الاجمالي </t>
  </si>
  <si>
    <t xml:space="preserve">المدة </t>
  </si>
  <si>
    <t>الكمية</t>
  </si>
  <si>
    <t>الجدول المعدل رقم (1)</t>
  </si>
  <si>
    <t xml:space="preserve">العقد الاساسي </t>
  </si>
  <si>
    <t>السعر الافرادي</t>
  </si>
  <si>
    <t>الوحدة</t>
  </si>
  <si>
    <t>الوصف</t>
  </si>
  <si>
    <t>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</si>
</sst>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_-* #,##0.00_-;_-* #,##0.00\-;_-* &quot;-&quot;??_-;_-@_-"/>
  </numFmts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8"/>
      <color theme="1"/>
      <name val="Traditional Arabic"/>
      <family val="1"/>
    </font>
    <font>
      <b/>
      <sz val="22"/>
      <color theme="1"/>
      <name val="Traditional Arabic"/>
      <family val="1"/>
    </font>
    <font>
      <b/>
      <sz val="18"/>
      <color rgb="FF000000"/>
      <name val="Traditional Arabic"/>
      <family val="1"/>
    </font>
    <font>
      <sz val="10"/>
      <name val="Arial"/>
      <family val="2"/>
    </font>
    <font>
      <sz val="22"/>
      <color theme="1"/>
      <name val="Arial"/>
      <family val="2"/>
      <scheme val="minor"/>
    </font>
    <font>
      <sz val="18"/>
      <color theme="1"/>
      <name val="Traditional Arabic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5" fontId="5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1"/>
    <xf numFmtId="9" fontId="3" fillId="2" borderId="1" xfId="2" applyFont="1" applyFill="1" applyBorder="1" applyAlignment="1">
      <alignment horizontal="center" vertical="center" readingOrder="2"/>
    </xf>
    <xf numFmtId="4" fontId="3" fillId="2" borderId="3" xfId="1" applyNumberFormat="1" applyFont="1" applyFill="1" applyBorder="1" applyAlignment="1">
      <alignment horizontal="center" vertical="center" readingOrder="2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 readingOrder="2"/>
    </xf>
    <xf numFmtId="4" fontId="3" fillId="2" borderId="5" xfId="1" applyNumberFormat="1" applyFont="1" applyFill="1" applyBorder="1" applyAlignment="1">
      <alignment horizontal="right" vertical="center" readingOrder="2"/>
    </xf>
    <xf numFmtId="3" fontId="3" fillId="2" borderId="5" xfId="1" applyNumberFormat="1" applyFont="1" applyFill="1" applyBorder="1" applyAlignment="1">
      <alignment horizontal="center" vertical="center" readingOrder="2"/>
    </xf>
    <xf numFmtId="0" fontId="3" fillId="2" borderId="5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4" fontId="4" fillId="0" borderId="7" xfId="1" applyNumberFormat="1" applyFont="1" applyBorder="1" applyAlignment="1">
      <alignment horizontal="center" vertical="center"/>
    </xf>
    <xf numFmtId="4" fontId="4" fillId="0" borderId="3" xfId="1" applyNumberFormat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 readingOrder="2"/>
    </xf>
    <xf numFmtId="165" fontId="2" fillId="0" borderId="7" xfId="3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 readingOrder="2"/>
    </xf>
    <xf numFmtId="0" fontId="2" fillId="0" borderId="3" xfId="1" applyFont="1" applyBorder="1" applyAlignment="1">
      <alignment horizontal="center" vertical="center" readingOrder="2"/>
    </xf>
    <xf numFmtId="165" fontId="2" fillId="0" borderId="3" xfId="3" applyFont="1" applyBorder="1" applyAlignment="1">
      <alignment horizontal="center" vertical="center"/>
    </xf>
    <xf numFmtId="4" fontId="2" fillId="0" borderId="3" xfId="1" applyNumberFormat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 readingOrder="2"/>
    </xf>
    <xf numFmtId="0" fontId="6" fillId="0" borderId="0" xfId="1" applyFont="1"/>
    <xf numFmtId="4" fontId="6" fillId="0" borderId="0" xfId="1" applyNumberFormat="1" applyFont="1"/>
    <xf numFmtId="4" fontId="4" fillId="3" borderId="3" xfId="1" applyNumberFormat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 readingOrder="2"/>
    </xf>
    <xf numFmtId="165" fontId="2" fillId="3" borderId="3" xfId="3" applyFont="1" applyFill="1" applyBorder="1" applyAlignment="1">
      <alignment horizontal="center" vertical="center"/>
    </xf>
    <xf numFmtId="4" fontId="2" fillId="3" borderId="3" xfId="1" applyNumberFormat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7" fillId="0" borderId="4" xfId="1" applyFont="1" applyBorder="1" applyAlignment="1">
      <alignment horizontal="center" vertical="center" readingOrder="2"/>
    </xf>
    <xf numFmtId="0" fontId="3" fillId="2" borderId="3" xfId="1" applyFont="1" applyFill="1" applyBorder="1" applyAlignment="1">
      <alignment horizontal="center" vertical="center" wrapText="1"/>
    </xf>
    <xf numFmtId="165" fontId="3" fillId="2" borderId="3" xfId="3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vertical="center"/>
    </xf>
    <xf numFmtId="0" fontId="3" fillId="2" borderId="3" xfId="1" applyFont="1" applyFill="1" applyBorder="1" applyAlignment="1">
      <alignment vertical="center"/>
    </xf>
    <xf numFmtId="0" fontId="3" fillId="2" borderId="2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</cellXfs>
  <cellStyles count="4">
    <cellStyle name="Comma 2 2" xfId="3" xr:uid="{697C1082-9D14-482B-B9AA-656CE3EA39CC}"/>
    <cellStyle name="Normal" xfId="0" builtinId="0"/>
    <cellStyle name="Normal 4 2" xfId="1" xr:uid="{545B5734-A5C1-4677-AF16-D58648C4BC94}"/>
    <cellStyle name="Percent 3 2" xfId="2" xr:uid="{C195DEBB-C379-4042-93DF-4FB4B02D62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804AE-B707-4D7F-960D-3C273F540E5D}">
  <sheetPr>
    <pageSetUpPr fitToPage="1"/>
  </sheetPr>
  <dimension ref="A1:R36"/>
  <sheetViews>
    <sheetView rightToLeft="1" tabSelected="1" view="pageBreakPreview" zoomScale="50" zoomScaleNormal="40" zoomScaleSheetLayoutView="50" workbookViewId="0">
      <selection activeCell="I35" sqref="I35:J35"/>
    </sheetView>
  </sheetViews>
  <sheetFormatPr defaultColWidth="8.796875" defaultRowHeight="13.8" x14ac:dyDescent="0.25"/>
  <cols>
    <col min="1" max="1" width="8.796875" style="1"/>
    <col min="2" max="2" width="46.69921875" style="1" customWidth="1"/>
    <col min="3" max="3" width="11" style="1" customWidth="1"/>
    <col min="4" max="4" width="17.296875" style="1" customWidth="1"/>
    <col min="5" max="6" width="8.5" style="1" bestFit="1" customWidth="1"/>
    <col min="7" max="7" width="12.5" style="1" bestFit="1" customWidth="1"/>
    <col min="8" max="8" width="25.5" style="1" bestFit="1" customWidth="1"/>
    <col min="9" max="9" width="11.3984375" style="1" customWidth="1"/>
    <col min="10" max="10" width="11.296875" style="1" customWidth="1"/>
    <col min="11" max="11" width="0" style="1" hidden="1" customWidth="1"/>
    <col min="12" max="12" width="31.3984375" style="1" customWidth="1"/>
    <col min="13" max="15" width="8.796875" style="1"/>
    <col min="16" max="16" width="21.59765625" style="1" bestFit="1" customWidth="1"/>
    <col min="17" max="17" width="8.796875" style="1"/>
    <col min="18" max="18" width="25" style="1" bestFit="1" customWidth="1"/>
    <col min="19" max="16384" width="8.796875" style="1"/>
  </cols>
  <sheetData>
    <row r="1" spans="1:18" ht="35.4" x14ac:dyDescent="0.25">
      <c r="A1" s="11" t="s">
        <v>43</v>
      </c>
      <c r="B1" s="10" t="s">
        <v>42</v>
      </c>
      <c r="C1" s="10" t="s">
        <v>41</v>
      </c>
      <c r="D1" s="40" t="s">
        <v>40</v>
      </c>
      <c r="E1" s="39" t="s">
        <v>39</v>
      </c>
      <c r="F1" s="38"/>
      <c r="G1" s="38"/>
      <c r="H1" s="37"/>
      <c r="I1" s="36" t="s">
        <v>38</v>
      </c>
      <c r="J1" s="35"/>
      <c r="K1" s="35"/>
      <c r="L1" s="34"/>
    </row>
    <row r="2" spans="1:18" ht="69.75" customHeight="1" x14ac:dyDescent="0.25">
      <c r="A2" s="5"/>
      <c r="B2" s="4"/>
      <c r="C2" s="4"/>
      <c r="D2" s="33"/>
      <c r="E2" s="31" t="s">
        <v>37</v>
      </c>
      <c r="F2" s="31" t="s">
        <v>36</v>
      </c>
      <c r="G2" s="31"/>
      <c r="H2" s="31" t="s">
        <v>35</v>
      </c>
      <c r="I2" s="32" t="s">
        <v>37</v>
      </c>
      <c r="J2" s="31" t="s">
        <v>36</v>
      </c>
      <c r="K2" s="31"/>
      <c r="L2" s="31" t="s">
        <v>35</v>
      </c>
    </row>
    <row r="3" spans="1:18" ht="30" x14ac:dyDescent="0.45">
      <c r="A3" s="30">
        <v>1</v>
      </c>
      <c r="B3" s="21" t="s">
        <v>34</v>
      </c>
      <c r="C3" s="21" t="s">
        <v>4</v>
      </c>
      <c r="D3" s="13">
        <v>50000</v>
      </c>
      <c r="E3" s="13">
        <v>1</v>
      </c>
      <c r="F3" s="13">
        <v>60</v>
      </c>
      <c r="G3" s="13">
        <v>60</v>
      </c>
      <c r="H3" s="13">
        <v>3000000</v>
      </c>
      <c r="I3" s="19">
        <v>1.5</v>
      </c>
      <c r="J3" s="18">
        <v>52.86</v>
      </c>
      <c r="K3" s="18">
        <v>79.289999999999992</v>
      </c>
      <c r="L3" s="13">
        <v>3964499.9999999995</v>
      </c>
      <c r="P3" s="23"/>
      <c r="R3" s="24"/>
    </row>
    <row r="4" spans="1:18" ht="30" x14ac:dyDescent="0.45">
      <c r="A4" s="30">
        <v>2</v>
      </c>
      <c r="B4" s="21" t="s">
        <v>33</v>
      </c>
      <c r="C4" s="21" t="s">
        <v>4</v>
      </c>
      <c r="D4" s="20">
        <v>45000</v>
      </c>
      <c r="E4" s="20">
        <v>1</v>
      </c>
      <c r="F4" s="20">
        <v>60</v>
      </c>
      <c r="G4" s="20">
        <v>60</v>
      </c>
      <c r="H4" s="20">
        <v>2700000</v>
      </c>
      <c r="I4" s="19">
        <v>0</v>
      </c>
      <c r="J4" s="18">
        <v>52.86</v>
      </c>
      <c r="K4" s="18">
        <v>0</v>
      </c>
      <c r="L4" s="13">
        <v>0</v>
      </c>
      <c r="P4" s="23"/>
      <c r="R4" s="24"/>
    </row>
    <row r="5" spans="1:18" ht="30" x14ac:dyDescent="0.45">
      <c r="A5" s="30">
        <v>3</v>
      </c>
      <c r="B5" s="21" t="s">
        <v>32</v>
      </c>
      <c r="C5" s="21" t="s">
        <v>4</v>
      </c>
      <c r="D5" s="13">
        <v>23000</v>
      </c>
      <c r="E5" s="13">
        <v>2</v>
      </c>
      <c r="F5" s="13">
        <v>60</v>
      </c>
      <c r="G5" s="13">
        <v>120</v>
      </c>
      <c r="H5" s="13">
        <v>2760000</v>
      </c>
      <c r="I5" s="19">
        <v>0</v>
      </c>
      <c r="J5" s="18">
        <v>52.86</v>
      </c>
      <c r="K5" s="18">
        <v>0</v>
      </c>
      <c r="L5" s="13">
        <v>0</v>
      </c>
      <c r="P5" s="23"/>
      <c r="R5" s="24"/>
    </row>
    <row r="6" spans="1:18" ht="30" x14ac:dyDescent="0.45">
      <c r="A6" s="30">
        <v>4</v>
      </c>
      <c r="B6" s="21" t="s">
        <v>31</v>
      </c>
      <c r="C6" s="21" t="s">
        <v>4</v>
      </c>
      <c r="D6" s="20">
        <v>28000</v>
      </c>
      <c r="E6" s="20">
        <v>7</v>
      </c>
      <c r="F6" s="20">
        <v>60</v>
      </c>
      <c r="G6" s="20">
        <v>420</v>
      </c>
      <c r="H6" s="20">
        <v>11760000</v>
      </c>
      <c r="I6" s="19">
        <v>23</v>
      </c>
      <c r="J6" s="18">
        <v>52.86</v>
      </c>
      <c r="K6" s="18">
        <v>1215.78</v>
      </c>
      <c r="L6" s="13">
        <v>34041840</v>
      </c>
      <c r="P6" s="23"/>
      <c r="R6" s="24"/>
    </row>
    <row r="7" spans="1:18" ht="30" x14ac:dyDescent="0.45">
      <c r="A7" s="30">
        <v>5</v>
      </c>
      <c r="B7" s="21" t="s">
        <v>30</v>
      </c>
      <c r="C7" s="21" t="s">
        <v>4</v>
      </c>
      <c r="D7" s="13">
        <v>19000</v>
      </c>
      <c r="E7" s="13">
        <v>3</v>
      </c>
      <c r="F7" s="13">
        <v>60</v>
      </c>
      <c r="G7" s="13">
        <v>180</v>
      </c>
      <c r="H7" s="13">
        <v>3420000</v>
      </c>
      <c r="I7" s="19">
        <v>4</v>
      </c>
      <c r="J7" s="18">
        <v>52.86</v>
      </c>
      <c r="K7" s="18">
        <v>211.44</v>
      </c>
      <c r="L7" s="13">
        <v>4017360</v>
      </c>
      <c r="P7" s="23"/>
      <c r="R7" s="24"/>
    </row>
    <row r="8" spans="1:18" ht="30" x14ac:dyDescent="0.45">
      <c r="A8" s="30">
        <v>6</v>
      </c>
      <c r="B8" s="21" t="s">
        <v>29</v>
      </c>
      <c r="C8" s="21" t="s">
        <v>4</v>
      </c>
      <c r="D8" s="20">
        <v>21000</v>
      </c>
      <c r="E8" s="20">
        <v>15</v>
      </c>
      <c r="F8" s="20">
        <v>60</v>
      </c>
      <c r="G8" s="20">
        <v>900</v>
      </c>
      <c r="H8" s="20">
        <v>18900000</v>
      </c>
      <c r="I8" s="19">
        <v>47</v>
      </c>
      <c r="J8" s="18">
        <v>52.86</v>
      </c>
      <c r="K8" s="18">
        <v>2484.42</v>
      </c>
      <c r="L8" s="13">
        <v>52172820</v>
      </c>
      <c r="P8" s="23"/>
      <c r="R8" s="24"/>
    </row>
    <row r="9" spans="1:18" ht="30" x14ac:dyDescent="0.45">
      <c r="A9" s="22">
        <v>7</v>
      </c>
      <c r="B9" s="21" t="s">
        <v>28</v>
      </c>
      <c r="C9" s="21" t="s">
        <v>4</v>
      </c>
      <c r="D9" s="13">
        <v>19000</v>
      </c>
      <c r="E9" s="13">
        <v>2</v>
      </c>
      <c r="F9" s="13">
        <v>60</v>
      </c>
      <c r="G9" s="13">
        <v>120</v>
      </c>
      <c r="H9" s="13">
        <v>2280000</v>
      </c>
      <c r="I9" s="19">
        <v>3</v>
      </c>
      <c r="J9" s="18">
        <v>52.86</v>
      </c>
      <c r="K9" s="18">
        <v>158.57999999999998</v>
      </c>
      <c r="L9" s="13">
        <v>3013019.9999999995</v>
      </c>
      <c r="P9" s="23"/>
      <c r="R9" s="24"/>
    </row>
    <row r="10" spans="1:18" ht="30" x14ac:dyDescent="0.45">
      <c r="A10" s="22">
        <v>8</v>
      </c>
      <c r="B10" s="21" t="s">
        <v>27</v>
      </c>
      <c r="C10" s="21" t="s">
        <v>4</v>
      </c>
      <c r="D10" s="20">
        <v>21000</v>
      </c>
      <c r="E10" s="20">
        <v>6</v>
      </c>
      <c r="F10" s="20">
        <v>60</v>
      </c>
      <c r="G10" s="20">
        <v>360</v>
      </c>
      <c r="H10" s="20">
        <v>7560000</v>
      </c>
      <c r="I10" s="19">
        <v>15</v>
      </c>
      <c r="J10" s="18">
        <v>52.86</v>
      </c>
      <c r="K10" s="18">
        <v>792.9</v>
      </c>
      <c r="L10" s="13">
        <v>16650900</v>
      </c>
      <c r="P10" s="23"/>
      <c r="R10" s="24"/>
    </row>
    <row r="11" spans="1:18" ht="30" x14ac:dyDescent="0.45">
      <c r="A11" s="22">
        <v>9</v>
      </c>
      <c r="B11" s="29" t="s">
        <v>26</v>
      </c>
      <c r="C11" s="29" t="s">
        <v>4</v>
      </c>
      <c r="D11" s="25">
        <v>19000</v>
      </c>
      <c r="E11" s="25">
        <v>2</v>
      </c>
      <c r="F11" s="25">
        <v>60</v>
      </c>
      <c r="G11" s="25">
        <v>120</v>
      </c>
      <c r="H11" s="25">
        <v>2280000</v>
      </c>
      <c r="I11" s="27">
        <v>3</v>
      </c>
      <c r="J11" s="26">
        <v>52.86</v>
      </c>
      <c r="K11" s="26">
        <v>158.57999999999998</v>
      </c>
      <c r="L11" s="25">
        <v>3013019.9999999995</v>
      </c>
      <c r="P11" s="23"/>
      <c r="R11" s="24"/>
    </row>
    <row r="12" spans="1:18" ht="30" x14ac:dyDescent="0.45">
      <c r="A12" s="22">
        <v>10</v>
      </c>
      <c r="B12" s="29" t="s">
        <v>25</v>
      </c>
      <c r="C12" s="29" t="s">
        <v>4</v>
      </c>
      <c r="D12" s="28">
        <v>21000</v>
      </c>
      <c r="E12" s="28">
        <v>5</v>
      </c>
      <c r="F12" s="28">
        <v>60</v>
      </c>
      <c r="G12" s="28">
        <v>300</v>
      </c>
      <c r="H12" s="28">
        <v>6300000</v>
      </c>
      <c r="I12" s="27">
        <v>14</v>
      </c>
      <c r="J12" s="26">
        <v>52.86</v>
      </c>
      <c r="K12" s="26">
        <v>740.04</v>
      </c>
      <c r="L12" s="25">
        <v>15540840</v>
      </c>
      <c r="P12" s="23"/>
      <c r="R12" s="23"/>
    </row>
    <row r="13" spans="1:18" ht="30" x14ac:dyDescent="0.45">
      <c r="A13" s="22">
        <v>11</v>
      </c>
      <c r="B13" s="21" t="s">
        <v>24</v>
      </c>
      <c r="C13" s="21" t="s">
        <v>4</v>
      </c>
      <c r="D13" s="13">
        <v>18000</v>
      </c>
      <c r="E13" s="13">
        <v>2</v>
      </c>
      <c r="F13" s="13">
        <v>60</v>
      </c>
      <c r="G13" s="13">
        <v>120</v>
      </c>
      <c r="H13" s="13">
        <v>2160000</v>
      </c>
      <c r="I13" s="19">
        <v>4</v>
      </c>
      <c r="J13" s="18">
        <v>52.86</v>
      </c>
      <c r="K13" s="18">
        <v>211.44</v>
      </c>
      <c r="L13" s="13">
        <v>3805920</v>
      </c>
      <c r="P13" s="23"/>
      <c r="R13" s="24"/>
    </row>
    <row r="14" spans="1:18" ht="30" x14ac:dyDescent="0.45">
      <c r="A14" s="22">
        <v>12</v>
      </c>
      <c r="B14" s="21" t="s">
        <v>23</v>
      </c>
      <c r="C14" s="21" t="s">
        <v>4</v>
      </c>
      <c r="D14" s="20">
        <v>21000</v>
      </c>
      <c r="E14" s="20">
        <v>5</v>
      </c>
      <c r="F14" s="20">
        <v>60</v>
      </c>
      <c r="G14" s="20">
        <v>300</v>
      </c>
      <c r="H14" s="20">
        <v>6300000</v>
      </c>
      <c r="I14" s="19">
        <v>11</v>
      </c>
      <c r="J14" s="18">
        <v>52.86</v>
      </c>
      <c r="K14" s="18">
        <v>581.46</v>
      </c>
      <c r="L14" s="13">
        <v>12210660</v>
      </c>
      <c r="P14" s="23"/>
      <c r="R14" s="24"/>
    </row>
    <row r="15" spans="1:18" ht="30" x14ac:dyDescent="0.45">
      <c r="A15" s="22">
        <v>13</v>
      </c>
      <c r="B15" s="21" t="s">
        <v>22</v>
      </c>
      <c r="C15" s="21" t="s">
        <v>4</v>
      </c>
      <c r="D15" s="13">
        <v>42000</v>
      </c>
      <c r="E15" s="13">
        <v>1</v>
      </c>
      <c r="F15" s="13">
        <v>60</v>
      </c>
      <c r="G15" s="13">
        <v>60</v>
      </c>
      <c r="H15" s="13">
        <v>2520000</v>
      </c>
      <c r="I15" s="19">
        <v>0</v>
      </c>
      <c r="J15" s="18">
        <v>52.86</v>
      </c>
      <c r="K15" s="18">
        <v>0</v>
      </c>
      <c r="L15" s="13">
        <v>0</v>
      </c>
      <c r="P15" s="23"/>
      <c r="R15" s="24"/>
    </row>
    <row r="16" spans="1:18" ht="30" x14ac:dyDescent="0.45">
      <c r="A16" s="22">
        <v>14</v>
      </c>
      <c r="B16" s="29" t="s">
        <v>21</v>
      </c>
      <c r="C16" s="29" t="s">
        <v>4</v>
      </c>
      <c r="D16" s="28">
        <v>21000</v>
      </c>
      <c r="E16" s="28">
        <v>1</v>
      </c>
      <c r="F16" s="28">
        <v>60</v>
      </c>
      <c r="G16" s="28">
        <v>60</v>
      </c>
      <c r="H16" s="28">
        <v>1260000</v>
      </c>
      <c r="I16" s="27">
        <v>0</v>
      </c>
      <c r="J16" s="26">
        <v>52.86</v>
      </c>
      <c r="K16" s="26">
        <v>0</v>
      </c>
      <c r="L16" s="25">
        <v>0</v>
      </c>
      <c r="P16" s="23"/>
      <c r="R16" s="24"/>
    </row>
    <row r="17" spans="1:18" ht="30" x14ac:dyDescent="0.45">
      <c r="A17" s="22">
        <v>15</v>
      </c>
      <c r="B17" s="21" t="s">
        <v>20</v>
      </c>
      <c r="C17" s="21" t="s">
        <v>4</v>
      </c>
      <c r="D17" s="13">
        <v>26000</v>
      </c>
      <c r="E17" s="13">
        <v>2</v>
      </c>
      <c r="F17" s="13">
        <v>60</v>
      </c>
      <c r="G17" s="13">
        <v>120</v>
      </c>
      <c r="H17" s="13">
        <v>3120000</v>
      </c>
      <c r="I17" s="19">
        <v>5</v>
      </c>
      <c r="J17" s="18">
        <v>52.86</v>
      </c>
      <c r="K17" s="18">
        <v>264.3</v>
      </c>
      <c r="L17" s="13">
        <v>6871800</v>
      </c>
      <c r="P17" s="23"/>
      <c r="R17" s="24"/>
    </row>
    <row r="18" spans="1:18" ht="30" x14ac:dyDescent="0.45">
      <c r="A18" s="22">
        <v>16</v>
      </c>
      <c r="B18" s="21" t="s">
        <v>19</v>
      </c>
      <c r="C18" s="21" t="s">
        <v>4</v>
      </c>
      <c r="D18" s="20">
        <v>19000</v>
      </c>
      <c r="E18" s="20">
        <v>1</v>
      </c>
      <c r="F18" s="20">
        <v>60</v>
      </c>
      <c r="G18" s="20">
        <v>60</v>
      </c>
      <c r="H18" s="20">
        <v>1140000</v>
      </c>
      <c r="I18" s="19">
        <v>2</v>
      </c>
      <c r="J18" s="18">
        <v>52.86</v>
      </c>
      <c r="K18" s="18">
        <v>105.72</v>
      </c>
      <c r="L18" s="13">
        <v>2008680</v>
      </c>
      <c r="R18" s="23"/>
    </row>
    <row r="19" spans="1:18" ht="30" x14ac:dyDescent="0.25">
      <c r="A19" s="22">
        <v>17</v>
      </c>
      <c r="B19" s="21" t="s">
        <v>18</v>
      </c>
      <c r="C19" s="21" t="s">
        <v>4</v>
      </c>
      <c r="D19" s="13">
        <v>21000</v>
      </c>
      <c r="E19" s="13">
        <v>1</v>
      </c>
      <c r="F19" s="13">
        <v>60</v>
      </c>
      <c r="G19" s="13">
        <v>60</v>
      </c>
      <c r="H19" s="13">
        <v>1260000</v>
      </c>
      <c r="I19" s="19">
        <v>2</v>
      </c>
      <c r="J19" s="18">
        <v>52.86</v>
      </c>
      <c r="K19" s="18">
        <v>105.72</v>
      </c>
      <c r="L19" s="13">
        <v>2220120</v>
      </c>
    </row>
    <row r="20" spans="1:18" ht="30" x14ac:dyDescent="0.25">
      <c r="A20" s="22">
        <v>18</v>
      </c>
      <c r="B20" s="21" t="s">
        <v>17</v>
      </c>
      <c r="C20" s="21" t="s">
        <v>4</v>
      </c>
      <c r="D20" s="20">
        <v>40000</v>
      </c>
      <c r="E20" s="20">
        <v>1</v>
      </c>
      <c r="F20" s="20">
        <v>60</v>
      </c>
      <c r="G20" s="20">
        <v>60</v>
      </c>
      <c r="H20" s="20">
        <v>2400000</v>
      </c>
      <c r="I20" s="19">
        <v>0</v>
      </c>
      <c r="J20" s="18">
        <v>52.86</v>
      </c>
      <c r="K20" s="18">
        <v>0</v>
      </c>
      <c r="L20" s="13">
        <v>0</v>
      </c>
    </row>
    <row r="21" spans="1:18" ht="30" x14ac:dyDescent="0.25">
      <c r="A21" s="22">
        <v>19</v>
      </c>
      <c r="B21" s="21" t="s">
        <v>16</v>
      </c>
      <c r="C21" s="21" t="s">
        <v>4</v>
      </c>
      <c r="D21" s="13">
        <v>21000</v>
      </c>
      <c r="E21" s="13">
        <v>1</v>
      </c>
      <c r="F21" s="13">
        <v>60</v>
      </c>
      <c r="G21" s="13">
        <v>60</v>
      </c>
      <c r="H21" s="13">
        <v>1260000</v>
      </c>
      <c r="I21" s="19">
        <v>0</v>
      </c>
      <c r="J21" s="18">
        <v>52.86</v>
      </c>
      <c r="K21" s="18">
        <v>0</v>
      </c>
      <c r="L21" s="13">
        <v>0</v>
      </c>
    </row>
    <row r="22" spans="1:18" ht="30" x14ac:dyDescent="0.25">
      <c r="A22" s="22">
        <v>20</v>
      </c>
      <c r="B22" s="21" t="s">
        <v>15</v>
      </c>
      <c r="C22" s="21" t="s">
        <v>4</v>
      </c>
      <c r="D22" s="20">
        <v>23000</v>
      </c>
      <c r="E22" s="20">
        <v>1</v>
      </c>
      <c r="F22" s="20">
        <v>60</v>
      </c>
      <c r="G22" s="20">
        <v>60</v>
      </c>
      <c r="H22" s="20">
        <v>1380000</v>
      </c>
      <c r="I22" s="19">
        <v>0</v>
      </c>
      <c r="J22" s="18">
        <v>52.86</v>
      </c>
      <c r="K22" s="18">
        <v>0</v>
      </c>
      <c r="L22" s="13">
        <v>0</v>
      </c>
    </row>
    <row r="23" spans="1:18" ht="30" x14ac:dyDescent="0.25">
      <c r="A23" s="22">
        <v>21</v>
      </c>
      <c r="B23" s="21" t="s">
        <v>14</v>
      </c>
      <c r="C23" s="21" t="s">
        <v>4</v>
      </c>
      <c r="D23" s="20">
        <v>15000</v>
      </c>
      <c r="E23" s="20">
        <v>1</v>
      </c>
      <c r="F23" s="20">
        <v>60</v>
      </c>
      <c r="G23" s="20"/>
      <c r="H23" s="20">
        <v>900000</v>
      </c>
      <c r="I23" s="19">
        <v>4</v>
      </c>
      <c r="J23" s="18">
        <v>52.86</v>
      </c>
      <c r="K23" s="18"/>
      <c r="L23" s="13">
        <v>3171600</v>
      </c>
    </row>
    <row r="24" spans="1:18" ht="30" x14ac:dyDescent="0.25">
      <c r="A24" s="22">
        <v>22</v>
      </c>
      <c r="B24" s="21" t="s">
        <v>13</v>
      </c>
      <c r="C24" s="21" t="s">
        <v>4</v>
      </c>
      <c r="D24" s="20">
        <v>17000</v>
      </c>
      <c r="E24" s="20">
        <v>2</v>
      </c>
      <c r="F24" s="20">
        <v>60</v>
      </c>
      <c r="G24" s="20"/>
      <c r="H24" s="20">
        <v>2040000</v>
      </c>
      <c r="I24" s="19">
        <v>14</v>
      </c>
      <c r="J24" s="18">
        <v>52.86</v>
      </c>
      <c r="K24" s="18"/>
      <c r="L24" s="13">
        <v>12580680</v>
      </c>
    </row>
    <row r="25" spans="1:18" ht="30" x14ac:dyDescent="0.25">
      <c r="A25" s="22">
        <v>23</v>
      </c>
      <c r="B25" s="21" t="s">
        <v>12</v>
      </c>
      <c r="C25" s="21" t="s">
        <v>4</v>
      </c>
      <c r="D25" s="20">
        <v>12000</v>
      </c>
      <c r="E25" s="20">
        <v>7</v>
      </c>
      <c r="F25" s="20">
        <v>60</v>
      </c>
      <c r="G25" s="20"/>
      <c r="H25" s="20">
        <v>5040000</v>
      </c>
      <c r="I25" s="19">
        <v>16</v>
      </c>
      <c r="J25" s="18">
        <v>52.86</v>
      </c>
      <c r="K25" s="18"/>
      <c r="L25" s="13">
        <v>10149120</v>
      </c>
    </row>
    <row r="26" spans="1:18" ht="30" x14ac:dyDescent="0.25">
      <c r="A26" s="22">
        <v>24</v>
      </c>
      <c r="B26" s="21" t="s">
        <v>11</v>
      </c>
      <c r="C26" s="21" t="s">
        <v>4</v>
      </c>
      <c r="D26" s="13">
        <v>12000</v>
      </c>
      <c r="E26" s="13">
        <v>25</v>
      </c>
      <c r="F26" s="13">
        <v>60</v>
      </c>
      <c r="G26" s="13">
        <v>1500</v>
      </c>
      <c r="H26" s="13">
        <v>18000000</v>
      </c>
      <c r="I26" s="19">
        <v>74</v>
      </c>
      <c r="J26" s="18">
        <v>52.86</v>
      </c>
      <c r="K26" s="18">
        <v>3911.64</v>
      </c>
      <c r="L26" s="13">
        <v>46939680</v>
      </c>
    </row>
    <row r="27" spans="1:18" ht="30" x14ac:dyDescent="0.25">
      <c r="A27" s="22">
        <v>25</v>
      </c>
      <c r="B27" s="21" t="s">
        <v>10</v>
      </c>
      <c r="C27" s="21" t="s">
        <v>4</v>
      </c>
      <c r="D27" s="13">
        <v>11000</v>
      </c>
      <c r="E27" s="13">
        <v>2</v>
      </c>
      <c r="F27" s="13">
        <v>60</v>
      </c>
      <c r="G27" s="13"/>
      <c r="H27" s="13">
        <v>1320000</v>
      </c>
      <c r="I27" s="19">
        <v>4</v>
      </c>
      <c r="J27" s="18">
        <v>52.86</v>
      </c>
      <c r="K27" s="18"/>
      <c r="L27" s="13">
        <v>2325840</v>
      </c>
    </row>
    <row r="28" spans="1:18" ht="30" x14ac:dyDescent="0.25">
      <c r="A28" s="22">
        <v>26</v>
      </c>
      <c r="B28" s="21" t="s">
        <v>9</v>
      </c>
      <c r="C28" s="21" t="s">
        <v>4</v>
      </c>
      <c r="D28" s="13">
        <v>13000</v>
      </c>
      <c r="E28" s="13">
        <v>7</v>
      </c>
      <c r="F28" s="13">
        <v>60</v>
      </c>
      <c r="G28" s="13"/>
      <c r="H28" s="13">
        <v>5460000</v>
      </c>
      <c r="I28" s="19">
        <v>50</v>
      </c>
      <c r="J28" s="18">
        <v>52.86</v>
      </c>
      <c r="K28" s="18"/>
      <c r="L28" s="13">
        <v>34359000</v>
      </c>
    </row>
    <row r="29" spans="1:18" ht="30" x14ac:dyDescent="0.25">
      <c r="A29" s="22">
        <v>27</v>
      </c>
      <c r="B29" s="21" t="s">
        <v>8</v>
      </c>
      <c r="C29" s="21" t="s">
        <v>4</v>
      </c>
      <c r="D29" s="13">
        <v>11000</v>
      </c>
      <c r="E29" s="13">
        <v>2</v>
      </c>
      <c r="F29" s="13">
        <v>60</v>
      </c>
      <c r="G29" s="13"/>
      <c r="H29" s="13">
        <v>1320000</v>
      </c>
      <c r="I29" s="19">
        <v>16</v>
      </c>
      <c r="J29" s="18">
        <v>52.86</v>
      </c>
      <c r="K29" s="18"/>
      <c r="L29" s="13">
        <v>9303360</v>
      </c>
    </row>
    <row r="30" spans="1:18" ht="30" x14ac:dyDescent="0.25">
      <c r="A30" s="22">
        <v>28</v>
      </c>
      <c r="B30" s="21" t="s">
        <v>7</v>
      </c>
      <c r="C30" s="21" t="s">
        <v>4</v>
      </c>
      <c r="D30" s="13">
        <v>12000</v>
      </c>
      <c r="E30" s="13">
        <v>8</v>
      </c>
      <c r="F30" s="13">
        <v>60</v>
      </c>
      <c r="G30" s="13"/>
      <c r="H30" s="13">
        <v>5760000</v>
      </c>
      <c r="I30" s="19">
        <v>26</v>
      </c>
      <c r="J30" s="18">
        <v>52.86</v>
      </c>
      <c r="K30" s="18"/>
      <c r="L30" s="13">
        <v>16492319.999999998</v>
      </c>
    </row>
    <row r="31" spans="1:18" ht="30" x14ac:dyDescent="0.25">
      <c r="A31" s="22">
        <v>29</v>
      </c>
      <c r="B31" s="21" t="s">
        <v>6</v>
      </c>
      <c r="C31" s="21" t="s">
        <v>4</v>
      </c>
      <c r="D31" s="20">
        <v>10000</v>
      </c>
      <c r="E31" s="20">
        <v>1</v>
      </c>
      <c r="F31" s="20">
        <v>60</v>
      </c>
      <c r="G31" s="20">
        <v>60</v>
      </c>
      <c r="H31" s="20">
        <v>600000</v>
      </c>
      <c r="I31" s="19">
        <v>10</v>
      </c>
      <c r="J31" s="18">
        <v>52.86</v>
      </c>
      <c r="K31" s="18">
        <v>528.6</v>
      </c>
      <c r="L31" s="13">
        <v>5286000</v>
      </c>
    </row>
    <row r="32" spans="1:18" ht="30.6" thickBot="1" x14ac:dyDescent="0.3">
      <c r="A32" s="17">
        <v>30</v>
      </c>
      <c r="B32" s="16" t="s">
        <v>5</v>
      </c>
      <c r="C32" s="16" t="s">
        <v>4</v>
      </c>
      <c r="D32" s="12">
        <v>10000</v>
      </c>
      <c r="E32" s="12">
        <v>3</v>
      </c>
      <c r="F32" s="12">
        <v>60</v>
      </c>
      <c r="G32" s="12">
        <v>180</v>
      </c>
      <c r="H32" s="12">
        <v>1800000</v>
      </c>
      <c r="I32" s="15">
        <v>9.4076787741203187</v>
      </c>
      <c r="J32" s="14">
        <v>52.86</v>
      </c>
      <c r="K32" s="14">
        <v>497.28990000000005</v>
      </c>
      <c r="L32" s="12">
        <v>4972899</v>
      </c>
    </row>
    <row r="33" spans="1:12" ht="35.4" x14ac:dyDescent="0.25">
      <c r="A33" s="11" t="s">
        <v>3</v>
      </c>
      <c r="B33" s="10"/>
      <c r="C33" s="10"/>
      <c r="D33" s="10"/>
      <c r="E33" s="9"/>
      <c r="F33" s="9"/>
      <c r="G33" s="9"/>
      <c r="H33" s="8">
        <f>SUM(H3:H32)</f>
        <v>126000000</v>
      </c>
      <c r="I33" s="8"/>
      <c r="J33" s="7"/>
      <c r="K33" s="7">
        <f>SUM(K3:K32)</f>
        <v>12047.1999</v>
      </c>
      <c r="L33" s="6">
        <f>SUM(L3:L32)</f>
        <v>305111979</v>
      </c>
    </row>
    <row r="34" spans="1:12" ht="35.4" x14ac:dyDescent="0.25">
      <c r="A34" s="41" t="s">
        <v>2</v>
      </c>
      <c r="B34" s="42"/>
      <c r="C34" s="42"/>
      <c r="D34" s="42"/>
      <c r="E34" s="42"/>
      <c r="F34" s="42"/>
      <c r="G34" s="42"/>
      <c r="H34" s="3">
        <f t="shared" ref="H34:K34" si="0">H33*0.15</f>
        <v>18900000</v>
      </c>
      <c r="I34" s="3"/>
      <c r="J34" s="3"/>
      <c r="K34" s="3">
        <f t="shared" si="0"/>
        <v>1807.0799849999999</v>
      </c>
      <c r="L34" s="3">
        <f>L33*0.15</f>
        <v>45766796.850000001</v>
      </c>
    </row>
    <row r="35" spans="1:12" ht="35.4" x14ac:dyDescent="0.25">
      <c r="A35" s="41" t="s">
        <v>1</v>
      </c>
      <c r="B35" s="42"/>
      <c r="C35" s="42"/>
      <c r="D35" s="42"/>
      <c r="E35" s="42"/>
      <c r="F35" s="42"/>
      <c r="G35" s="42"/>
      <c r="H35" s="3">
        <f t="shared" ref="H35:K35" si="1">H33+H34</f>
        <v>144900000</v>
      </c>
      <c r="I35" s="3"/>
      <c r="J35" s="3"/>
      <c r="K35" s="3">
        <f t="shared" si="1"/>
        <v>13854.279885</v>
      </c>
      <c r="L35" s="3">
        <f>L33+L34</f>
        <v>350878775.85000002</v>
      </c>
    </row>
    <row r="36" spans="1:12" ht="36" thickBot="1" x14ac:dyDescent="0.3">
      <c r="A36" s="43" t="s">
        <v>0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2"/>
    </row>
  </sheetData>
  <mergeCells count="7">
    <mergeCell ref="D1:D2"/>
    <mergeCell ref="E1:H1"/>
    <mergeCell ref="I1:L1"/>
    <mergeCell ref="A33:D33"/>
    <mergeCell ref="A1:A2"/>
    <mergeCell ref="B1:B2"/>
    <mergeCell ref="C1:C2"/>
  </mergeCells>
  <printOptions horizontalCentered="1"/>
  <pageMargins left="0.7" right="0.7" top="0.75" bottom="0.75" header="0.3" footer="0.3"/>
  <pageSetup paperSize="9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sadat Ahmed</dc:creator>
  <cp:lastModifiedBy>sadat Ahmed</cp:lastModifiedBy>
  <dcterms:created xsi:type="dcterms:W3CDTF">2026-08-20T11:07:48Z</dcterms:created>
  <dcterms:modified xsi:type="dcterms:W3CDTF">2026-08-20T11:09:12Z</dcterms:modified>
</cp:coreProperties>
</file>