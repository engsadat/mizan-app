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8AB1D38C575203A/Desktop/AI/HR/source/"/>
    </mc:Choice>
  </mc:AlternateContent>
  <xr:revisionPtr revIDLastSave="41" documentId="11_A22C8BAD61BBBFDAAD661E915DEB61E28C5188BC" xr6:coauthVersionLast="47" xr6:coauthVersionMax="47" xr10:uidLastSave="{6128EA24-8CBF-4ACD-98E5-56252C343372}"/>
  <bookViews>
    <workbookView xWindow="-108" yWindow="-108" windowWidth="23256" windowHeight="13896" xr2:uid="{00000000-000D-0000-FFFF-FFFF00000000}"/>
  </bookViews>
  <sheets>
    <sheet name="pro" sheetId="1" r:id="rId1"/>
    <sheet name="Statu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9" i="1" l="1"/>
  <c r="L79" i="1"/>
  <c r="A79" i="1"/>
  <c r="AD78" i="1"/>
  <c r="L78" i="1"/>
  <c r="A78" i="1"/>
  <c r="AD74" i="1"/>
  <c r="L74" i="1"/>
  <c r="A74" i="1"/>
  <c r="AD73" i="1"/>
  <c r="L73" i="1"/>
  <c r="A73" i="1"/>
  <c r="AD77" i="1"/>
  <c r="L77" i="1"/>
  <c r="A77" i="1"/>
  <c r="AD72" i="1"/>
  <c r="L72" i="1"/>
  <c r="A72" i="1"/>
  <c r="AD219" i="1"/>
  <c r="L219" i="1"/>
  <c r="A219" i="1"/>
  <c r="AD71" i="1"/>
  <c r="L71" i="1"/>
  <c r="A71" i="1"/>
  <c r="AD70" i="1"/>
  <c r="L70" i="1"/>
  <c r="A70" i="1"/>
  <c r="AD69" i="1"/>
  <c r="L69" i="1"/>
  <c r="A69" i="1"/>
  <c r="AD68" i="1"/>
  <c r="L68" i="1"/>
  <c r="A68" i="1"/>
  <c r="AD67" i="1"/>
  <c r="L67" i="1"/>
  <c r="A67" i="1"/>
  <c r="AD226" i="1"/>
  <c r="L226" i="1"/>
  <c r="A226" i="1"/>
  <c r="AD225" i="1"/>
  <c r="L225" i="1"/>
  <c r="A225" i="1"/>
  <c r="AD66" i="1"/>
  <c r="L66" i="1"/>
  <c r="A66" i="1"/>
  <c r="AD65" i="1"/>
  <c r="L65" i="1"/>
  <c r="A65" i="1"/>
  <c r="AD64" i="1"/>
  <c r="L64" i="1"/>
  <c r="A64" i="1"/>
  <c r="AD63" i="1"/>
  <c r="L63" i="1"/>
  <c r="A63" i="1"/>
  <c r="AD62" i="1"/>
  <c r="L62" i="1"/>
  <c r="A62" i="1"/>
  <c r="AD61" i="1"/>
  <c r="L61" i="1"/>
  <c r="A61" i="1"/>
  <c r="AD60" i="1"/>
  <c r="L60" i="1"/>
  <c r="A60" i="1"/>
  <c r="AD218" i="1"/>
  <c r="L218" i="1"/>
  <c r="A218" i="1"/>
  <c r="AD217" i="1"/>
  <c r="L217" i="1"/>
  <c r="A217" i="1"/>
  <c r="AD216" i="1"/>
  <c r="L216" i="1"/>
  <c r="A216" i="1"/>
  <c r="AD215" i="1"/>
  <c r="L215" i="1"/>
  <c r="A215" i="1"/>
  <c r="AD214" i="1"/>
  <c r="L214" i="1"/>
  <c r="A214" i="1"/>
  <c r="AD213" i="1"/>
  <c r="L213" i="1"/>
  <c r="A213" i="1"/>
  <c r="AD212" i="1"/>
  <c r="L212" i="1"/>
  <c r="A212" i="1"/>
  <c r="AD211" i="1"/>
  <c r="L211" i="1"/>
  <c r="A211" i="1"/>
  <c r="AD210" i="1"/>
  <c r="L210" i="1"/>
  <c r="A210" i="1"/>
  <c r="AD209" i="1"/>
  <c r="L209" i="1"/>
  <c r="A209" i="1"/>
  <c r="AD208" i="1"/>
  <c r="L208" i="1"/>
  <c r="A208" i="1"/>
  <c r="AD207" i="1"/>
  <c r="L207" i="1"/>
  <c r="A207" i="1"/>
  <c r="AD206" i="1"/>
  <c r="L206" i="1"/>
  <c r="A206" i="1"/>
  <c r="AD205" i="1"/>
  <c r="L205" i="1"/>
  <c r="A205" i="1"/>
  <c r="AD204" i="1"/>
  <c r="L204" i="1"/>
  <c r="A204" i="1"/>
  <c r="AD203" i="1"/>
  <c r="L203" i="1"/>
  <c r="A203" i="1"/>
  <c r="AD202" i="1"/>
  <c r="L202" i="1"/>
  <c r="A202" i="1"/>
  <c r="AD201" i="1"/>
  <c r="L201" i="1"/>
  <c r="A201" i="1"/>
  <c r="AD200" i="1"/>
  <c r="L200" i="1"/>
  <c r="A200" i="1"/>
  <c r="AD199" i="1"/>
  <c r="L199" i="1"/>
  <c r="A199" i="1"/>
  <c r="AD198" i="1"/>
  <c r="L198" i="1"/>
  <c r="A198" i="1"/>
  <c r="L230" i="1"/>
  <c r="L197" i="1"/>
  <c r="AD59" i="1"/>
  <c r="L59" i="1"/>
  <c r="A59" i="1"/>
  <c r="AD196" i="1"/>
  <c r="L196" i="1"/>
  <c r="A196" i="1"/>
  <c r="AD195" i="1"/>
  <c r="L195" i="1"/>
  <c r="A195" i="1"/>
  <c r="AD194" i="1"/>
  <c r="L194" i="1"/>
  <c r="A194" i="1"/>
  <c r="AD193" i="1"/>
  <c r="L193" i="1"/>
  <c r="A193" i="1"/>
  <c r="AD192" i="1"/>
  <c r="L192" i="1"/>
  <c r="A192" i="1"/>
  <c r="AD191" i="1"/>
  <c r="L191" i="1"/>
  <c r="A191" i="1"/>
  <c r="AD190" i="1"/>
  <c r="L190" i="1"/>
  <c r="A190" i="1"/>
  <c r="AD189" i="1"/>
  <c r="L189" i="1"/>
  <c r="A189" i="1"/>
  <c r="AD188" i="1"/>
  <c r="L188" i="1"/>
  <c r="A188" i="1"/>
  <c r="AD187" i="1"/>
  <c r="L187" i="1"/>
  <c r="A187" i="1"/>
  <c r="AD58" i="1"/>
  <c r="L58" i="1"/>
  <c r="A58" i="1"/>
  <c r="AD186" i="1"/>
  <c r="L186" i="1"/>
  <c r="A186" i="1"/>
  <c r="AD185" i="1"/>
  <c r="L185" i="1"/>
  <c r="A185" i="1"/>
  <c r="AD184" i="1"/>
  <c r="L184" i="1"/>
  <c r="A184" i="1"/>
  <c r="AD183" i="1"/>
  <c r="L183" i="1"/>
  <c r="A183" i="1"/>
  <c r="AD182" i="1"/>
  <c r="L182" i="1"/>
  <c r="A182" i="1"/>
  <c r="AD181" i="1"/>
  <c r="L181" i="1"/>
  <c r="A181" i="1"/>
  <c r="AD180" i="1"/>
  <c r="L180" i="1"/>
  <c r="A180" i="1"/>
  <c r="AD179" i="1"/>
  <c r="L179" i="1"/>
  <c r="A179" i="1"/>
  <c r="AD178" i="1"/>
  <c r="L178" i="1"/>
  <c r="A178" i="1"/>
  <c r="AD57" i="1"/>
  <c r="L57" i="1"/>
  <c r="A57" i="1"/>
  <c r="AD56" i="1"/>
  <c r="L56" i="1"/>
  <c r="A56" i="1"/>
  <c r="AD177" i="1"/>
  <c r="L177" i="1"/>
  <c r="A177" i="1"/>
  <c r="AD176" i="1"/>
  <c r="L176" i="1"/>
  <c r="A176" i="1"/>
  <c r="AD175" i="1"/>
  <c r="L175" i="1"/>
  <c r="A175" i="1"/>
  <c r="AD174" i="1"/>
  <c r="L174" i="1"/>
  <c r="A174" i="1"/>
  <c r="AD173" i="1"/>
  <c r="L173" i="1"/>
  <c r="A173" i="1"/>
  <c r="AD172" i="1"/>
  <c r="L172" i="1"/>
  <c r="A172" i="1"/>
  <c r="AD171" i="1"/>
  <c r="L171" i="1"/>
  <c r="A171" i="1"/>
  <c r="AD170" i="1"/>
  <c r="L170" i="1"/>
  <c r="A170" i="1"/>
  <c r="AD169" i="1"/>
  <c r="L169" i="1"/>
  <c r="A169" i="1"/>
  <c r="AD168" i="1"/>
  <c r="L168" i="1"/>
  <c r="A168" i="1"/>
  <c r="AD167" i="1"/>
  <c r="L167" i="1"/>
  <c r="A167" i="1"/>
  <c r="AD55" i="1"/>
  <c r="L55" i="1"/>
  <c r="A55" i="1"/>
  <c r="AD166" i="1"/>
  <c r="L166" i="1"/>
  <c r="A166" i="1"/>
  <c r="AD165" i="1"/>
  <c r="L165" i="1"/>
  <c r="A165" i="1"/>
  <c r="AD54" i="1"/>
  <c r="L54" i="1"/>
  <c r="A54" i="1"/>
  <c r="AD164" i="1"/>
  <c r="L164" i="1"/>
  <c r="A164" i="1"/>
  <c r="AD163" i="1"/>
  <c r="L163" i="1"/>
  <c r="A163" i="1"/>
  <c r="AD162" i="1"/>
  <c r="L162" i="1"/>
  <c r="A162" i="1"/>
  <c r="AD161" i="1"/>
  <c r="L161" i="1"/>
  <c r="A161" i="1"/>
  <c r="AD160" i="1"/>
  <c r="L160" i="1"/>
  <c r="A160" i="1"/>
  <c r="AD159" i="1"/>
  <c r="L159" i="1"/>
  <c r="A159" i="1"/>
  <c r="AD87" i="1"/>
  <c r="L87" i="1"/>
  <c r="A87" i="1"/>
  <c r="AD158" i="1"/>
  <c r="L158" i="1"/>
  <c r="A158" i="1"/>
  <c r="AD229" i="1"/>
  <c r="L229" i="1"/>
  <c r="A229" i="1"/>
  <c r="AD53" i="1"/>
  <c r="L53" i="1"/>
  <c r="A53" i="1"/>
  <c r="AD157" i="1"/>
  <c r="L157" i="1"/>
  <c r="A157" i="1"/>
  <c r="AD156" i="1"/>
  <c r="L156" i="1"/>
  <c r="A156" i="1"/>
  <c r="AD155" i="1"/>
  <c r="L155" i="1"/>
  <c r="A155" i="1"/>
  <c r="AD154" i="1"/>
  <c r="L154" i="1"/>
  <c r="A154" i="1"/>
  <c r="AD153" i="1"/>
  <c r="L153" i="1"/>
  <c r="A153" i="1"/>
  <c r="AD152" i="1"/>
  <c r="L152" i="1"/>
  <c r="A152" i="1"/>
  <c r="AD151" i="1"/>
  <c r="L151" i="1"/>
  <c r="A151" i="1"/>
  <c r="AD150" i="1"/>
  <c r="L150" i="1"/>
  <c r="A150" i="1"/>
  <c r="AD149" i="1"/>
  <c r="L149" i="1"/>
  <c r="A149" i="1"/>
  <c r="AD148" i="1"/>
  <c r="L148" i="1"/>
  <c r="A148" i="1"/>
  <c r="AD228" i="1"/>
  <c r="L228" i="1"/>
  <c r="A228" i="1"/>
  <c r="AD224" i="1"/>
  <c r="L224" i="1"/>
  <c r="A224" i="1"/>
  <c r="AD52" i="1"/>
  <c r="L52" i="1"/>
  <c r="A52" i="1"/>
  <c r="AD51" i="1"/>
  <c r="L51" i="1"/>
  <c r="A51" i="1"/>
  <c r="AD50" i="1"/>
  <c r="L50" i="1"/>
  <c r="A50" i="1"/>
  <c r="AD227" i="1"/>
  <c r="L227" i="1"/>
  <c r="A227" i="1"/>
  <c r="AD49" i="1"/>
  <c r="L49" i="1"/>
  <c r="A49" i="1"/>
  <c r="AD83" i="1"/>
  <c r="L83" i="1"/>
  <c r="A83" i="1"/>
  <c r="AD48" i="1"/>
  <c r="L48" i="1"/>
  <c r="A48" i="1"/>
  <c r="AD47" i="1"/>
  <c r="L47" i="1"/>
  <c r="A47" i="1"/>
  <c r="AD46" i="1"/>
  <c r="L46" i="1"/>
  <c r="A46" i="1"/>
  <c r="AD45" i="1"/>
  <c r="L45" i="1"/>
  <c r="A45" i="1"/>
  <c r="AD44" i="1"/>
  <c r="L44" i="1"/>
  <c r="A44" i="1"/>
  <c r="AD43" i="1"/>
  <c r="L43" i="1"/>
  <c r="A43" i="1"/>
  <c r="AD146" i="1"/>
  <c r="L146" i="1"/>
  <c r="A146" i="1"/>
  <c r="AD220" i="1"/>
  <c r="L220" i="1"/>
  <c r="A220" i="1"/>
  <c r="AD145" i="1"/>
  <c r="L145" i="1"/>
  <c r="A145" i="1"/>
  <c r="AD75" i="1"/>
  <c r="L75" i="1"/>
  <c r="A75" i="1"/>
  <c r="AD144" i="1"/>
  <c r="L144" i="1"/>
  <c r="A144" i="1"/>
  <c r="AD143" i="1"/>
  <c r="L143" i="1"/>
  <c r="A143" i="1"/>
  <c r="AD142" i="1"/>
  <c r="L142" i="1"/>
  <c r="A142" i="1"/>
  <c r="AD42" i="1"/>
  <c r="L42" i="1"/>
  <c r="A42" i="1"/>
  <c r="AD141" i="1"/>
  <c r="L141" i="1"/>
  <c r="A141" i="1"/>
  <c r="AD140" i="1"/>
  <c r="L140" i="1"/>
  <c r="A140" i="1"/>
  <c r="AD139" i="1"/>
  <c r="L139" i="1"/>
  <c r="A139" i="1"/>
  <c r="AD86" i="1"/>
  <c r="L86" i="1"/>
  <c r="A86" i="1"/>
  <c r="AD41" i="1"/>
  <c r="L41" i="1"/>
  <c r="A41" i="1"/>
  <c r="AD138" i="1"/>
  <c r="L138" i="1"/>
  <c r="A138" i="1"/>
  <c r="AD137" i="1"/>
  <c r="L137" i="1"/>
  <c r="A137" i="1"/>
  <c r="AD136" i="1"/>
  <c r="L136" i="1"/>
  <c r="A136" i="1"/>
  <c r="AD135" i="1"/>
  <c r="L135" i="1"/>
  <c r="A135" i="1"/>
  <c r="AD134" i="1"/>
  <c r="L134" i="1"/>
  <c r="A134" i="1"/>
  <c r="AD223" i="1"/>
  <c r="L223" i="1"/>
  <c r="A223" i="1"/>
  <c r="AD133" i="1"/>
  <c r="L133" i="1"/>
  <c r="A133" i="1"/>
  <c r="AD132" i="1"/>
  <c r="L132" i="1"/>
  <c r="A132" i="1"/>
  <c r="AD131" i="1"/>
  <c r="L131" i="1"/>
  <c r="A131" i="1"/>
  <c r="AD130" i="1"/>
  <c r="L130" i="1"/>
  <c r="A130" i="1"/>
  <c r="AD129" i="1"/>
  <c r="L129" i="1"/>
  <c r="A129" i="1"/>
  <c r="AD128" i="1"/>
  <c r="L128" i="1"/>
  <c r="A128" i="1"/>
  <c r="AD40" i="1"/>
  <c r="L40" i="1"/>
  <c r="A40" i="1"/>
  <c r="AD82" i="1"/>
  <c r="L82" i="1"/>
  <c r="A82" i="1"/>
  <c r="AD39" i="1"/>
  <c r="L39" i="1"/>
  <c r="A39" i="1"/>
  <c r="AD127" i="1"/>
  <c r="L127" i="1"/>
  <c r="A127" i="1"/>
  <c r="AD126" i="1"/>
  <c r="L126" i="1"/>
  <c r="A126" i="1"/>
  <c r="AD125" i="1"/>
  <c r="L125" i="1"/>
  <c r="A125" i="1"/>
  <c r="AD124" i="1"/>
  <c r="L124" i="1"/>
  <c r="A124" i="1"/>
  <c r="AD123" i="1"/>
  <c r="L123" i="1"/>
  <c r="A123" i="1"/>
  <c r="AD122" i="1"/>
  <c r="L122" i="1"/>
  <c r="A122" i="1"/>
  <c r="AD38" i="1"/>
  <c r="L38" i="1"/>
  <c r="A38" i="1"/>
  <c r="AD121" i="1"/>
  <c r="L121" i="1"/>
  <c r="A121" i="1"/>
  <c r="AD120" i="1"/>
  <c r="L120" i="1"/>
  <c r="A120" i="1"/>
  <c r="AD119" i="1"/>
  <c r="L119" i="1"/>
  <c r="A119" i="1"/>
  <c r="AD118" i="1"/>
  <c r="L118" i="1"/>
  <c r="A118" i="1"/>
  <c r="AD221" i="1"/>
  <c r="L221" i="1"/>
  <c r="A221" i="1"/>
  <c r="AD37" i="1"/>
  <c r="L37" i="1"/>
  <c r="A37" i="1"/>
  <c r="AD36" i="1"/>
  <c r="L36" i="1"/>
  <c r="A36" i="1"/>
  <c r="AD35" i="1"/>
  <c r="L35" i="1"/>
  <c r="A35" i="1"/>
  <c r="AD34" i="1"/>
  <c r="L34" i="1"/>
  <c r="A34" i="1"/>
  <c r="AD33" i="1"/>
  <c r="L33" i="1"/>
  <c r="A33" i="1"/>
  <c r="AD117" i="1"/>
  <c r="L117" i="1"/>
  <c r="A117" i="1"/>
  <c r="AD116" i="1"/>
  <c r="L116" i="1"/>
  <c r="A116" i="1"/>
  <c r="AD85" i="1"/>
  <c r="L85" i="1"/>
  <c r="A85" i="1"/>
  <c r="AD115" i="1"/>
  <c r="L115" i="1"/>
  <c r="A115" i="1"/>
  <c r="AD84" i="1"/>
  <c r="L84" i="1"/>
  <c r="A84" i="1"/>
  <c r="AD114" i="1"/>
  <c r="L114" i="1"/>
  <c r="A114" i="1"/>
  <c r="AD113" i="1"/>
  <c r="L113" i="1"/>
  <c r="A113" i="1"/>
  <c r="AD112" i="1"/>
  <c r="L112" i="1"/>
  <c r="A112" i="1"/>
  <c r="AD32" i="1"/>
  <c r="L32" i="1"/>
  <c r="A32" i="1"/>
  <c r="AD111" i="1"/>
  <c r="L111" i="1"/>
  <c r="A111" i="1"/>
  <c r="AD110" i="1"/>
  <c r="L110" i="1"/>
  <c r="A110" i="1"/>
  <c r="AD109" i="1"/>
  <c r="L109" i="1"/>
  <c r="A109" i="1"/>
  <c r="AD31" i="1"/>
  <c r="L31" i="1"/>
  <c r="A31" i="1"/>
  <c r="AD30" i="1"/>
  <c r="L30" i="1"/>
  <c r="A30" i="1"/>
  <c r="AD29" i="1"/>
  <c r="L29" i="1"/>
  <c r="A29" i="1"/>
  <c r="AD28" i="1"/>
  <c r="L28" i="1"/>
  <c r="A28" i="1"/>
  <c r="AD27" i="1"/>
  <c r="L27" i="1"/>
  <c r="A27" i="1"/>
  <c r="AD26" i="1"/>
  <c r="L26" i="1"/>
  <c r="A26" i="1"/>
  <c r="AD25" i="1"/>
  <c r="L25" i="1"/>
  <c r="A25" i="1"/>
  <c r="AD24" i="1"/>
  <c r="L24" i="1"/>
  <c r="A24" i="1"/>
  <c r="AD23" i="1"/>
  <c r="L23" i="1"/>
  <c r="A23" i="1"/>
  <c r="AD22" i="1"/>
  <c r="L22" i="1"/>
  <c r="A22" i="1"/>
  <c r="AD21" i="1"/>
  <c r="L21" i="1"/>
  <c r="A21" i="1"/>
  <c r="AD20" i="1"/>
  <c r="L20" i="1"/>
  <c r="A20" i="1"/>
  <c r="AD19" i="1"/>
  <c r="L19" i="1"/>
  <c r="A19" i="1"/>
  <c r="AD18" i="1"/>
  <c r="L18" i="1"/>
  <c r="A18" i="1"/>
  <c r="AD17" i="1"/>
  <c r="L17" i="1"/>
  <c r="A17" i="1"/>
  <c r="AD16" i="1"/>
  <c r="L16" i="1"/>
  <c r="A16" i="1"/>
  <c r="AD15" i="1"/>
  <c r="L15" i="1"/>
  <c r="A15" i="1"/>
  <c r="AD14" i="1"/>
  <c r="L14" i="1"/>
  <c r="A14" i="1"/>
  <c r="AD13" i="1"/>
  <c r="L13" i="1"/>
  <c r="A13" i="1"/>
  <c r="AD12" i="1"/>
  <c r="L12" i="1"/>
  <c r="A12" i="1"/>
  <c r="AD222" i="1"/>
  <c r="L222" i="1"/>
  <c r="A222" i="1"/>
  <c r="AD11" i="1"/>
  <c r="L11" i="1"/>
  <c r="A11" i="1"/>
  <c r="AD10" i="1"/>
  <c r="L10" i="1"/>
  <c r="A10" i="1"/>
  <c r="AD108" i="1"/>
  <c r="L108" i="1"/>
  <c r="A108" i="1"/>
  <c r="AD107" i="1"/>
  <c r="L107" i="1"/>
  <c r="A107" i="1"/>
  <c r="AD106" i="1"/>
  <c r="L106" i="1"/>
  <c r="A106" i="1"/>
  <c r="AD105" i="1"/>
  <c r="L105" i="1"/>
  <c r="A105" i="1"/>
  <c r="AD76" i="1"/>
  <c r="L76" i="1"/>
  <c r="A76" i="1"/>
  <c r="AD104" i="1"/>
  <c r="L104" i="1"/>
  <c r="A104" i="1"/>
  <c r="AD103" i="1"/>
  <c r="L103" i="1"/>
  <c r="A103" i="1"/>
  <c r="AD102" i="1"/>
  <c r="L102" i="1"/>
  <c r="A102" i="1"/>
  <c r="AD101" i="1"/>
  <c r="L101" i="1"/>
  <c r="A101" i="1"/>
  <c r="AD100" i="1"/>
  <c r="L100" i="1"/>
  <c r="A100" i="1"/>
  <c r="AD9" i="1"/>
  <c r="L9" i="1"/>
  <c r="A9" i="1"/>
  <c r="AD8" i="1"/>
  <c r="L8" i="1"/>
  <c r="A8" i="1"/>
  <c r="AD99" i="1"/>
  <c r="L99" i="1"/>
  <c r="A99" i="1"/>
  <c r="AD98" i="1"/>
  <c r="L98" i="1"/>
  <c r="A98" i="1"/>
  <c r="AD97" i="1"/>
  <c r="L97" i="1"/>
  <c r="A97" i="1"/>
  <c r="AD7" i="1"/>
  <c r="L7" i="1"/>
  <c r="A7" i="1"/>
  <c r="AD6" i="1"/>
  <c r="L6" i="1"/>
  <c r="A6" i="1"/>
  <c r="AD96" i="1"/>
  <c r="L96" i="1"/>
  <c r="A96" i="1"/>
  <c r="AD81" i="1"/>
  <c r="L81" i="1"/>
  <c r="A81" i="1"/>
  <c r="AD95" i="1"/>
  <c r="L95" i="1"/>
  <c r="A95" i="1"/>
  <c r="AD94" i="1"/>
  <c r="L94" i="1"/>
  <c r="A94" i="1"/>
  <c r="AD80" i="1"/>
  <c r="L80" i="1"/>
  <c r="A80" i="1"/>
  <c r="AD93" i="1"/>
  <c r="L93" i="1"/>
  <c r="A93" i="1"/>
  <c r="AD92" i="1"/>
  <c r="L92" i="1"/>
  <c r="A92" i="1"/>
  <c r="AD91" i="1"/>
  <c r="L91" i="1"/>
  <c r="A91" i="1"/>
  <c r="AD90" i="1"/>
  <c r="L90" i="1"/>
  <c r="A90" i="1"/>
  <c r="AD89" i="1"/>
  <c r="L89" i="1"/>
  <c r="A89" i="1"/>
  <c r="AD88" i="1"/>
  <c r="L88" i="1"/>
  <c r="A88" i="1"/>
  <c r="AD5" i="1"/>
  <c r="L5" i="1"/>
  <c r="A5" i="1"/>
  <c r="AD4" i="1"/>
  <c r="L4" i="1"/>
  <c r="A4" i="1"/>
  <c r="AD3" i="1"/>
  <c r="L3" i="1"/>
  <c r="A3" i="1"/>
  <c r="AD2" i="1"/>
  <c r="A2" i="1"/>
</calcChain>
</file>

<file path=xl/sharedStrings.xml><?xml version="1.0" encoding="utf-8"?>
<sst xmlns="http://schemas.openxmlformats.org/spreadsheetml/2006/main" count="4393" uniqueCount="1044">
  <si>
    <t>م</t>
  </si>
  <si>
    <t>التصنيف الرئييس</t>
  </si>
  <si>
    <t>122_العجز</t>
  </si>
  <si>
    <t>x</t>
  </si>
  <si>
    <t>y</t>
  </si>
  <si>
    <t>أطوال الشبكات والخطوط (جدول كميات معتمد)</t>
  </si>
  <si>
    <t>أطوال الشبكات والخطوط المنفذة (تراكمي)</t>
  </si>
  <si>
    <t>رقم العقد التشغيلي</t>
  </si>
  <si>
    <t>Project Number</t>
  </si>
  <si>
    <t>PO_No</t>
  </si>
  <si>
    <t>Included</t>
  </si>
  <si>
    <t>القيمة مع الضريبة2</t>
  </si>
  <si>
    <t>إسم المشروع</t>
  </si>
  <si>
    <t>القيمة</t>
  </si>
  <si>
    <t>الوصف</t>
  </si>
  <si>
    <t>مصدر التمويل</t>
  </si>
  <si>
    <t>المدينة / المحافظة</t>
  </si>
  <si>
    <t>المنطقة</t>
  </si>
  <si>
    <t>اسم المقاول</t>
  </si>
  <si>
    <t>مشترك</t>
  </si>
  <si>
    <t>م مقيم</t>
  </si>
  <si>
    <t>المهندس المقيم</t>
  </si>
  <si>
    <t>وضع المشروع</t>
  </si>
  <si>
    <t>حالة المشروع</t>
  </si>
  <si>
    <t>تاريخ البدء</t>
  </si>
  <si>
    <t>تاريخ الانتهاء</t>
  </si>
  <si>
    <t>ملاحظات</t>
  </si>
  <si>
    <t>Contractor</t>
  </si>
  <si>
    <t>تصنيف المشروع طبقاً للشركة</t>
  </si>
  <si>
    <t>Value</t>
  </si>
  <si>
    <t>اسم المقيم- عسير</t>
  </si>
  <si>
    <t>اسم المقيم- جازان</t>
  </si>
  <si>
    <t>اسم المقيم-الباحة</t>
  </si>
  <si>
    <t>اسم المقيم- نجران</t>
  </si>
  <si>
    <t>خارج النطاق الجغرافي</t>
  </si>
  <si>
    <t>نسبة الإنجاز المخططة</t>
  </si>
  <si>
    <t>نسبة الإنجاز الفعلية</t>
  </si>
  <si>
    <t>الفارق</t>
  </si>
  <si>
    <t>update6-3</t>
  </si>
  <si>
    <t>Update_
2026-5-24</t>
  </si>
  <si>
    <t>عدد (محطة معالجة)</t>
  </si>
  <si>
    <t>عدد (محطة رفع/ ضخ)</t>
  </si>
  <si>
    <t xml:space="preserve">ملاحظات </t>
  </si>
  <si>
    <t>عدد الغرف</t>
  </si>
  <si>
    <t>الفرق</t>
  </si>
  <si>
    <t>EPC</t>
  </si>
  <si>
    <t>الحفر الدقيق</t>
  </si>
  <si>
    <t>Yes</t>
  </si>
  <si>
    <t>مشروع تنفيذ الخط الناقل من سد وادي بيش إلى محطة التنقية على وادي بيش (المرحلة الأولى)</t>
  </si>
  <si>
    <t>جازان</t>
  </si>
  <si>
    <t>مؤسسة سكاي العربية للمقاولات</t>
  </si>
  <si>
    <t>عمرو فوزي السيد كيلاني</t>
  </si>
  <si>
    <t>استلام ابتدائي</t>
  </si>
  <si>
    <t>7/4/2019</t>
  </si>
  <si>
    <t>2/1/2020</t>
  </si>
  <si>
    <t>NO</t>
  </si>
  <si>
    <t>12/18/2/15/0088/1</t>
  </si>
  <si>
    <t>No</t>
  </si>
  <si>
    <t>استكمال الاعمال المدنيةوالميكانيكيةوالكهربائيةلمحطات الضخ بمحافظات متفرقة بجازان</t>
  </si>
  <si>
    <t>شركة الكبريش للاستثمار والمقاولات</t>
  </si>
  <si>
    <t>لا</t>
  </si>
  <si>
    <t>__</t>
  </si>
  <si>
    <t>مشروع شبكات صرف صحي ومحطة معالجة لمياه الصرف الصحي بالوديعة محافظة شرورة بمنطقة نجرن</t>
  </si>
  <si>
    <t>نجران</t>
  </si>
  <si>
    <t>شركة سويدو كيكو الشرق الأوسط</t>
  </si>
  <si>
    <t>نزار أحمد إدريس محمد</t>
  </si>
  <si>
    <t>-</t>
  </si>
  <si>
    <t>مشروع توريد وتركيب محطة مدمجة لمياه الصرف الصحي للمدن ( قلوة ـ المخواة ـ الحجرة  ) بمنطقة الباحة</t>
  </si>
  <si>
    <t>الباحة</t>
  </si>
  <si>
    <t>شركة سويدو كيكو الشرق الاوسط</t>
  </si>
  <si>
    <t>مؤمن عادل السيد علام</t>
  </si>
  <si>
    <t>yes</t>
  </si>
  <si>
    <t xml:space="preserve">مشروع تنفيذ ملاحظات الاستلام الابتدائي لمشروع استكمال مناهل المياه وخزان بالمزرع و خزان بالقرى بالباحة </t>
  </si>
  <si>
    <t>شركة ﺭﻛﻦ ﺍﻟﻔﺎﻳﺰﻳﺔ ﻟﻠﻤﻘﺎﻭﻻﺕ</t>
  </si>
  <si>
    <t>هشام عبد العظيم محمد صالح</t>
  </si>
  <si>
    <t>تحت التنفيذ</t>
  </si>
  <si>
    <t>جاري تسليم الموقع</t>
  </si>
  <si>
    <t>ﻣﺸﺮﻭﻉ ﺗﻨﻔﻴﺬ ﻣﻼﺣﻈﺎﺕ ﺍﻻﺳﺘﻼﻡ ﺍﻻﺑﺘﺪﺍﺋﻲ ﻟﻤﺸﺮﻭﻉ ﺗﻨﻔﻴﺬ ﺷﺒﻜﺔ ﺍﻟﺼﺮﻑ ﺍﻟﺼﺤﻲ ﺑﻤﺤﺎﻓﻈﺔ ﺍﻟﻤﻨﺪﻕ ﻭﻗﺮﺍﻫﺎ ﺑﻤﻨﻄﻘﺔ ﺍﻟﺒﺎﺣﺔ ﺍﻟﻤﺮﺣﻠﺔ الثانية</t>
  </si>
  <si>
    <t>فرع ﺷﺮﻛﺔ ﺍﻟﻘﻤﻢ ﺍﻷﻭﻟﻰ ﻟﻠﻤﻘﺎﻭﻻﺕ ﺍﻹﻧﺸﺎﺋﻴﺔ</t>
  </si>
  <si>
    <t xml:space="preserve">احمد صالح عبده </t>
  </si>
  <si>
    <t>no</t>
  </si>
  <si>
    <t>9/26/2/0/O867/1</t>
  </si>
  <si>
    <t>O867</t>
  </si>
  <si>
    <t>تنفيذ شبكات الصرف الصحي بمحافظة المخواة المرحلة الثانية بمنطقة الباحة</t>
  </si>
  <si>
    <t xml:space="preserve">تنفيذ خطوط انحدار وخطوط طرد بإجمالي (84.7) كم وعدد (3) محطات رفع مع أنظمة الحماية من المطرقة المائية، حيث تم تنفيذ (28) كم من المقاول السابق (شركة وتد العربية) </t>
  </si>
  <si>
    <t>شركة كويا اند كومباني كونستركشن السعودية للمقاولات</t>
  </si>
  <si>
    <t>احمد محمد عبدالماجد احمد</t>
  </si>
  <si>
    <t>منتظم</t>
  </si>
  <si>
    <t>تم إعادة الطرح بدلا من 141220017</t>
  </si>
  <si>
    <t>شركة كويا اند كومبني كونستركشن السعودية للمقاولات</t>
  </si>
  <si>
    <t>صرف</t>
  </si>
  <si>
    <t>مياه</t>
  </si>
  <si>
    <t>9/26/2/1/P277/1</t>
  </si>
  <si>
    <t>P277</t>
  </si>
  <si>
    <t>تنفيذ أعمال انشاء شبكات المياه وخزانات بمركز نيرا بمحافظة المخواة - المرحلة الاولي</t>
  </si>
  <si>
    <t xml:space="preserve">  تنفيذ شبكات مياه باجمالي أطوال 70.77 كم وخزانات </t>
  </si>
  <si>
    <t>مشاريع الحزمة الأولى</t>
  </si>
  <si>
    <t>المخواه</t>
  </si>
  <si>
    <t>شركة الكبريش للاستثمار و المقاولات</t>
  </si>
  <si>
    <t>9/25/2/1/P237/1</t>
  </si>
  <si>
    <t>P237</t>
  </si>
  <si>
    <t>تنفيذ شبكات المياه بمحافظة بلجرشي و مراكزها بمنطقة الباحة - مرحلة أولي</t>
  </si>
  <si>
    <t>تنفيذ شبكات المياه باجمالي أطوال 30 كم</t>
  </si>
  <si>
    <t>بلجرشي</t>
  </si>
  <si>
    <t>شركة عزم للإستثمار</t>
  </si>
  <si>
    <t>متقدم</t>
  </si>
  <si>
    <t>شركة عزم للإستشمار</t>
  </si>
  <si>
    <t>9/25/2/1/P295/1</t>
  </si>
  <si>
    <t>P295</t>
  </si>
  <si>
    <t>تنفيذ أعمال انشاء شبكات المياه بمناطق مختلفة بمحافظة المخواة - المرحلة الاولي</t>
  </si>
  <si>
    <t>تنفيذ شبكات المياه باجمالي أطوال 5 كم</t>
  </si>
  <si>
    <t>مشاريع الحزمة الاولى</t>
  </si>
  <si>
    <t>المخواة</t>
  </si>
  <si>
    <t>شركه بلكس للمقاولات العامه</t>
  </si>
  <si>
    <t xml:space="preserve">لا </t>
  </si>
  <si>
    <t xml:space="preserve"> تنفيذ شبكات الصرف الصحي المرحلة الثالثة بمحافظة المندق</t>
  </si>
  <si>
    <t>شركة سعد سعيد الصاعدي للمقاولات</t>
  </si>
  <si>
    <t>احمد صالح عبده</t>
  </si>
  <si>
    <t>المقاول اعتذر</t>
  </si>
  <si>
    <t>1/2/2026</t>
  </si>
  <si>
    <t>1/2/2027</t>
  </si>
  <si>
    <t>9/25/2/2/P191/1</t>
  </si>
  <si>
    <t>P191</t>
  </si>
  <si>
    <t>تنفيذ شبكات الصرف الصحي والوصلات المنزلية في محافظة المخواة ، المرحلة الثالثة</t>
  </si>
  <si>
    <t>تنفيذ شبكات الصرف الصحي باجمالي طول 30 كم</t>
  </si>
  <si>
    <t>شركة ابداع الحياة للاستثمار</t>
  </si>
  <si>
    <t>خارج النطاق</t>
  </si>
  <si>
    <t>9/25/2/2/AP1072/1</t>
  </si>
  <si>
    <t>AP1072</t>
  </si>
  <si>
    <t>مشروع استكمال ربط شبكات مياه الصرف الصحي في مواقع متفرقة من محافظات منطقة الباحة لخدمة طلبات التوصيلات المنزلية</t>
  </si>
  <si>
    <t>ربط شبكات مياه الصرف الصحي في مواقع متفرقة من محافظات منطقة الباحة</t>
  </si>
  <si>
    <t>مناطق متعددة</t>
  </si>
  <si>
    <t>شركة صرح الحديثة للمقاولات</t>
  </si>
  <si>
    <t>نعم</t>
  </si>
  <si>
    <t>مشروع الطرق الثانوية بمنطقة الباحة المجموعة الرابعة</t>
  </si>
  <si>
    <t>شركة قادة التشييد للمقاولات شخص واحد</t>
  </si>
  <si>
    <t>1/6/2026</t>
  </si>
  <si>
    <t>1/6/2027</t>
  </si>
  <si>
    <t>9/25/2/1/P256/1</t>
  </si>
  <si>
    <t>P256</t>
  </si>
  <si>
    <t>تنفيذ أعمال انشاء شبكات المياه بالمناطق المحيطة بخزان ناوان والاحسبة بمحافظة المخواة</t>
  </si>
  <si>
    <t xml:space="preserve">  تنفيذ شبكات مياه بإجمالي أطوال 7 كم</t>
  </si>
  <si>
    <t>شركة منار الوطنية للمقاولات العامة</t>
  </si>
  <si>
    <t>6/25/2/14/AP160/1</t>
  </si>
  <si>
    <t>AP160</t>
  </si>
  <si>
    <t>مشروع تنفيذ أعمال ترحيل خدمات المياه والصرف الصحي المتعارضة مع الاملاك الحكومية والخاصة لعام 2024</t>
  </si>
  <si>
    <t xml:space="preserve">ترحيل شبكات المياه والصرف الصحي بإجمالي أطوال 3.5 كم </t>
  </si>
  <si>
    <t>مؤسسة سدرة العصرية للمقاولات</t>
  </si>
  <si>
    <t>أخرى</t>
  </si>
  <si>
    <t>مكتمل التنفيذ</t>
  </si>
  <si>
    <t>9/25/2/1/P259/1</t>
  </si>
  <si>
    <t>P259</t>
  </si>
  <si>
    <t>مشروع تنفيذ شبكات مياه محافظة الحجرة - المرحلة الأولى</t>
  </si>
  <si>
    <t xml:space="preserve">  تنفيذ شبكات مياه بإجمالي أطوال 14.1 كم</t>
  </si>
  <si>
    <t>الحجرة</t>
  </si>
  <si>
    <t>شركة كيان العربية للمقاولات</t>
  </si>
  <si>
    <t>9/25/2/1/P251/1</t>
  </si>
  <si>
    <t>P251</t>
  </si>
  <si>
    <t>تنفيذ أعمال انشاء شبكات المياه بالمناطق المحيطة بخزان شمال المخواه بمحافظة المخواة</t>
  </si>
  <si>
    <t xml:space="preserve">  تنفيذ شبكات مياه بإجمالي أطوال  6.5 كم</t>
  </si>
  <si>
    <t>شركة أصول البناء للتجارة والمقاولات المحدودة</t>
  </si>
  <si>
    <t>9/25/2/2/P199-1/1</t>
  </si>
  <si>
    <t>P199-1</t>
  </si>
  <si>
    <t>تنفيذ شبكات الصرف الصحي بمحافظة بلجرشي - المرحلة الثالثة</t>
  </si>
  <si>
    <t xml:space="preserve"> تنفيذ شبكات صرف صحي بإجمالي أطوال 15 كم</t>
  </si>
  <si>
    <t>6/25/2/1/AP1069/1</t>
  </si>
  <si>
    <t>AP1069</t>
  </si>
  <si>
    <t>مشروع استكمال ربط شبكات المياه والخطوط الناقلة وتحسينها في متفرقة من محافظات الباحة لخدمة طلبات التوصيلات المنزلية</t>
  </si>
  <si>
    <t xml:space="preserve"> تنفيذ شبكات مياه بإجمالي أطوال 24 كم</t>
  </si>
  <si>
    <t>مؤسسة حسن أحمد حسن ال صعب للمقاولات</t>
  </si>
  <si>
    <t>09/23/2/01/0011/1</t>
  </si>
  <si>
    <t>P257</t>
  </si>
  <si>
    <t>تنفيذ أعمال انشاء شبكات المياه بالمناطق المحيطة بخزان دوقة عبد الحميد بمحافظة قلوة</t>
  </si>
  <si>
    <t xml:space="preserve">  تنفيذ شبكات مياه بإجمالي أطوال  16 كم</t>
  </si>
  <si>
    <t>قلوة</t>
  </si>
  <si>
    <t>متأخر</t>
  </si>
  <si>
    <t>تنفيذ أعمال انشاء شبكات المياه بالمناطق المحيطة بخزان نخال بمحافظة القري</t>
  </si>
  <si>
    <t>شركة ريتاج الجزيرة للمقاولات</t>
  </si>
  <si>
    <t>12/26/2024</t>
  </si>
  <si>
    <t>11/26/2025</t>
  </si>
  <si>
    <t>صرف صحي</t>
  </si>
  <si>
    <t>09/23/2/02/0009/1</t>
  </si>
  <si>
    <t>P1662</t>
  </si>
  <si>
    <t>تنفيذ شبكات الصرف الصحي بمحافظة العقيق بمنطقة الباحة- مرحلة ثانية</t>
  </si>
  <si>
    <t xml:space="preserve"> تنفيذ شبكات صرف صحي بإجمالي أطوال 62.4 كم</t>
  </si>
  <si>
    <t>العقيق</t>
  </si>
  <si>
    <t>09/23/2/02/0008/1</t>
  </si>
  <si>
    <t>P201</t>
  </si>
  <si>
    <t>تنفيذ شبكات الصرف الصحي والتوصيلات المنزلية - المرحلة الثالثة - بمحافظة العقيق</t>
  </si>
  <si>
    <t xml:space="preserve"> تنفيذ شبكات صرف صحي بإجمالي أطوال 86.5 كم</t>
  </si>
  <si>
    <t>09/23/2/02/0006/1</t>
  </si>
  <si>
    <t>P193</t>
  </si>
  <si>
    <t>تنفيذ شبكات الصرف الصحي بمحافظة قلوة - المرحلة الثانية</t>
  </si>
  <si>
    <t xml:space="preserve"> تنفيذ شبكات صرف صحي بإجمالي أطوال 32 كم</t>
  </si>
  <si>
    <t>شركة بكري أحمد حسن ال صعب للمقاولات شركة شخص واحد</t>
  </si>
  <si>
    <t>مؤسسة بكري احمد حسن آل صعب للمقاولات</t>
  </si>
  <si>
    <t>09/23/2/01/0007/1</t>
  </si>
  <si>
    <t>NA-00058</t>
  </si>
  <si>
    <t>تنفيذ أعمال انشاء شبكات المياه بمحافظة المندق مرحلة أولى</t>
  </si>
  <si>
    <t xml:space="preserve">  تنفيذ شبكات مياه بإجمالي أطوال  7 كم</t>
  </si>
  <si>
    <t>المندق</t>
  </si>
  <si>
    <t>شركة نبراس المتحدة للمقاولات</t>
  </si>
  <si>
    <t>شركة نبراس المتحدة للمقاولات العامة</t>
  </si>
  <si>
    <t>09/23/2/01/0005/1</t>
  </si>
  <si>
    <t>10297</t>
  </si>
  <si>
    <t>تنفيذ أعمال انشاء شبكات المياه بمركز بني كبير بمحافظة بلجرشي - مرحلة أولى</t>
  </si>
  <si>
    <t xml:space="preserve">  تنفيذ شبكات مياه بإجمالي أطوال  13 كم</t>
  </si>
  <si>
    <t>شركة الخط الذهبي للمقاولات</t>
  </si>
  <si>
    <t>ترحيل المياه التي تعترض المواطنيين</t>
  </si>
  <si>
    <t>شركة وتد العربية ذات مسئولية محدودة</t>
  </si>
  <si>
    <t>استلام نهائي</t>
  </si>
  <si>
    <t>09/23/2/04/0003/1</t>
  </si>
  <si>
    <t>1431</t>
  </si>
  <si>
    <t>تنفيذ محطة معالجة مياه الصرف الصحي بمدينة المندق بمنطقة الباحة (المرحلة الأولى)</t>
  </si>
  <si>
    <t>تنفيذ محطة معالجةبسعة 6,250 م3/يوم</t>
  </si>
  <si>
    <t>عامة</t>
  </si>
  <si>
    <t>شركة وشنه للمقاولات</t>
  </si>
  <si>
    <t>09/23/2/11/0002/1</t>
  </si>
  <si>
    <t>O1000</t>
  </si>
  <si>
    <t>تنفيذ مشروع نقل المياه الى عدد من الاودية بمحافظتي المخواة وقلوة بمنطقة الباحة</t>
  </si>
  <si>
    <t xml:space="preserve"> تنفيذ شبكات مياه بإجمالي أطوال 29 كم</t>
  </si>
  <si>
    <t>09/23/2/01/0001/1</t>
  </si>
  <si>
    <t>P1683</t>
  </si>
  <si>
    <t>تنفيذ أعمال شبكات المياه وخزان بمركز ناوان بمحافظة المخواة</t>
  </si>
  <si>
    <t xml:space="preserve">  تنفيذ شبكات مياه بإجمالي أطوال 90 كم وتنفيذ  خزان</t>
  </si>
  <si>
    <t>مؤسسة خزام ناصر سعيد الشهراني للمقاولات</t>
  </si>
  <si>
    <t>09/14/2/02/0097/1</t>
  </si>
  <si>
    <t>O995</t>
  </si>
  <si>
    <t>مشروع تنفيذ شبكات الصرف الصحي لمدينة قلوة بمنطقة الباحة (المرحلة الأولى)</t>
  </si>
  <si>
    <t xml:space="preserve"> تنفيذ شبكات صرف صحي بإجمالي أطوال 18.4 كم</t>
  </si>
  <si>
    <t xml:space="preserve">لا يوجد </t>
  </si>
  <si>
    <t>استكمال ايصال المياه إلى  عليب و الشعراء ومن العقيق الى مركز كرا والى مركز وراخ وعمل تفريعه منه الى مواقع المدينة الصناعية بمنطقة الباحة</t>
  </si>
  <si>
    <t>شركة سعيد بن سعد بخروش الغامدي للتجارة والمقاولات</t>
  </si>
  <si>
    <t>مشروع إستكمال تنفيذ شبكة الصرف الصحي بمدينة الباحة ( المرحلة الثانية) بمنطقة الباحة</t>
  </si>
  <si>
    <t>شركة توجر للتجارة والمقاولات</t>
  </si>
  <si>
    <t>12/28/2022</t>
  </si>
  <si>
    <t>1/11/2025</t>
  </si>
  <si>
    <t>تنفيذ شبكة الصرف الصحي بمحافظة المخواه المرحلة الثانية بمنطقة الباحة</t>
  </si>
  <si>
    <t>مبادرات</t>
  </si>
  <si>
    <t>مسحوب</t>
  </si>
  <si>
    <t>تم إعادة طرحه (141250324)</t>
  </si>
  <si>
    <t>إنشاء الخزان الاستراتيجي سعة (75,000) م3 في محافظة بلجرشي</t>
  </si>
  <si>
    <t>شركة فجر الانشائية بالتضامن مع مؤسسة افق المزن للمقاولات</t>
  </si>
  <si>
    <t xml:space="preserve"> مشروع انشاء خزان استراتيجي بمحافظة القرى بمحافظة الباحة</t>
  </si>
  <si>
    <t>شركة أحمد محي الدين الحرفي وشركاه للمقاولات</t>
  </si>
  <si>
    <t>مشروع تنفيذ محطة معالجة مياه الصرف الصحي بمدينة بلجرشي (المرحلة الأولى) بمنطقة الباحة</t>
  </si>
  <si>
    <t>شركة النعيم للمقاولات المحدودة</t>
  </si>
  <si>
    <t>استكمال الخطوط الناقلة و شبكات المياه بقطاع محافظات السراة بمنطقة الباحة</t>
  </si>
  <si>
    <t>استكمال الخطوط الناقلة و شبكات المياه في مدينة الباحة</t>
  </si>
  <si>
    <t>مشروع استكمال شبكات الصرف الصحي بمدينة بلجرشي المرحلة الثانية بمنطقة الباحة</t>
  </si>
  <si>
    <t>مشروع تنفيذ شبكة الصرف الصحي بمحافظة المندق وقراها بمنطقة الباحة المرحله التانية</t>
  </si>
  <si>
    <t>تضامن شركة القمم للإنشاءات والصيانة المحدودة ومؤسسة نور الحاج توفيق بيضون</t>
  </si>
  <si>
    <t>أحمد عبده صالح</t>
  </si>
  <si>
    <t>تضامن شركة القمم للإمشاءات والصيانة المحدودة ومؤسسة نور الحاج توفيق بيضون</t>
  </si>
  <si>
    <t>مشروع إنشاء شبكات الصرف الصحي بمدينة الأطاولة بمنطقة الباحة - المرحلة الأولى</t>
  </si>
  <si>
    <t>شركة القمم للانشاءات والصيانه المحدوده بالتضامن مع شركة الكوثر للتصنيع المحدودة</t>
  </si>
  <si>
    <t>إستكمال تنفيذ مناهل المياه وإنشاء خزان بالمزرع وخزان بمحافظة القرى بمنطقة الباحة</t>
  </si>
  <si>
    <t>شركة آل مترك للمقاولات والتعهدات</t>
  </si>
  <si>
    <t>مشروع تنفيذ محطة معالجة مياه الصرف الصحي لمدينة المخواة (المرحلة الأولى ) بمنطقة الباحة</t>
  </si>
  <si>
    <t>فك ونقل وإعادة تركيب وحدتين من محطة التنقية بعسير إلى محطة العقيق بمنطقة الباحة</t>
  </si>
  <si>
    <t>شركة الأعمال المدنية المحدودة</t>
  </si>
  <si>
    <t>مشروع نقل الفائض للمياه المعالجة من محطة مدينة المخواه بمنطقة الباحة</t>
  </si>
  <si>
    <t>إنشاء محطتي الضخ والخط الناقل للتغذية من خط الحياة بقلوة بمنطقة الباحة</t>
  </si>
  <si>
    <t>تنفيذ شبكات المياه بقلوة بالباحة</t>
  </si>
  <si>
    <t>مؤسسة عبد المحسن شعبان القحطانى للمقاولات</t>
  </si>
  <si>
    <t>11/14/2019</t>
  </si>
  <si>
    <t>2/18/2024</t>
  </si>
  <si>
    <t>مشروع استكمال شبكة مياه محافظة المندق المرحلة الخامسة بمنطقة الباحة</t>
  </si>
  <si>
    <t>شركة سعيد بن سعد بن بخروش الغامدي للتجارة والمقاولات</t>
  </si>
  <si>
    <t>تنفيذ محطة معالجة مياه الصرف الصحي لمدينة قلوة ( المرحلة الأولى ) بمنطقة الباحة</t>
  </si>
  <si>
    <t>استكمال مشروع تنفيذ محطتي تنقية مياه الشرب بمحافظتي المخواة وقلوة بمنطقة الباحة</t>
  </si>
  <si>
    <t>شركة الكوثر للتصنيع المحدودة</t>
  </si>
  <si>
    <t>تأهيل محطة تنقية وادي الجنابين بالباحة</t>
  </si>
  <si>
    <t>مؤسسة آفاق المستقبل للمقاولات</t>
  </si>
  <si>
    <t>إنشاء الخزان الاستراتيجي بقلوة بالباحة</t>
  </si>
  <si>
    <t>شركة الطوخي للصناعة والتجارة والمقاولات</t>
  </si>
  <si>
    <t>مشروع تنفيذ شبكات الصرف الصحي بمدينة بلجرشي بمنطقة الباحة المرحلة الأولى</t>
  </si>
  <si>
    <t>13/-1/2/1/P1262-1/1</t>
  </si>
  <si>
    <t>P1262-1</t>
  </si>
  <si>
    <t>مشروع تنفيد خط ناقل من خزان حبونا إلى السرح و بوابة الاستلام بمركز الجفة بمنطقة نجران</t>
  </si>
  <si>
    <t xml:space="preserve">  خط ناقل 9 كم </t>
  </si>
  <si>
    <t>ثار</t>
  </si>
  <si>
    <t>شركة يامكو المتحدة للمقاولات</t>
  </si>
  <si>
    <t>13/25/2/2/AP1071/1</t>
  </si>
  <si>
    <t>AP1071</t>
  </si>
  <si>
    <t>مشروع استكمال ربط شبكات مياه الصرف الصحي في مواقع متفرقة من محافظات منطقة نجران لخدمة طلبات التوصيلات المنزلية</t>
  </si>
  <si>
    <t>تنفيذ شبكات الصرف الصحي بأطوال تقدر ب 4.4 كم وعدد 1 محطة رفع  وبمحافظات متفرقة بمنطقة نجران (مدينة نجران – محافظة شرورة – محافظة الوديعة</t>
  </si>
  <si>
    <t>شركة روابط الحمرور المحدودة</t>
  </si>
  <si>
    <t>ناجي محمد جبارة أحمد</t>
  </si>
  <si>
    <t>محمد علي طوسون</t>
  </si>
  <si>
    <t> </t>
  </si>
  <si>
    <t>13/25/2/1/P1219-4/1</t>
  </si>
  <si>
    <t>P1219-4</t>
  </si>
  <si>
    <t>احلال وتجديد شبكة المياه بمنطقة نجران</t>
  </si>
  <si>
    <t>تأهيل واستبدال شبكات المياه القديمة والتالفة بمنطقة نجران  وشبكات مياه مدينة يدمة وبدر الجنوب والبلد</t>
  </si>
  <si>
    <t>شركة فرسان الضيقة للمقاولات العامه</t>
  </si>
  <si>
    <t>محمود مصطفي حسن عيد</t>
  </si>
  <si>
    <t>شركة فرسان الضيقة للمقاولات العامة</t>
  </si>
  <si>
    <t xml:space="preserve">نعم </t>
  </si>
  <si>
    <t>مشروع إيصال خدمات المياه والصرف الصحي للجهات الحكومية والخاصة بالقطاع الجنوبي (منطقة نجران) لعام 2024</t>
  </si>
  <si>
    <t>1/12/2025</t>
  </si>
  <si>
    <t>1/11/2026</t>
  </si>
  <si>
    <t>13/25/2/1/P1244/1</t>
  </si>
  <si>
    <t>P1244</t>
  </si>
  <si>
    <t>مشروع استكمال شبكات مياه الشرب بمنطقة نجران عقد 3</t>
  </si>
  <si>
    <t xml:space="preserve"> شبكات 179.6 كم </t>
  </si>
  <si>
    <t>شركة مناحي حمد مرعي الشهراني للمقاولات</t>
  </si>
  <si>
    <t>13/23/2/08/0007/1</t>
  </si>
  <si>
    <t>AP332</t>
  </si>
  <si>
    <t>مشروع تنفيذ خزانات الطوارئ لمياه الصرف الصحي للخط الناقل الرئيسي لأحياء جنوب مدينة نجران</t>
  </si>
  <si>
    <t>تنفيذ 24 خزان مع الربط على خط الناقل الرئيسي</t>
  </si>
  <si>
    <t>شركة الجازع للمقاولات والتجارة (مساهمة مقفلة)</t>
  </si>
  <si>
    <t>شركة الجازع للمقاولات والتجارة</t>
  </si>
  <si>
    <t>13/23/2/01/0008/1</t>
  </si>
  <si>
    <t>NA-00095</t>
  </si>
  <si>
    <t>مشروع استكمال ربط شبكات المياه والخطوط الناقلة وتحسينها في مواقع متفرقة من محافظات منطقة نجران لمشروع إيصال</t>
  </si>
  <si>
    <t>تنفيذ خطوط فرعية متفرقة لربط شبكات المياه الغير مربوطة بالمنظومة بمواقع متفرقة من محافظة نجران بطول (16,500) متر طولي.</t>
  </si>
  <si>
    <t>كبيرة</t>
  </si>
  <si>
    <t>13/23/2/06/0003/1</t>
  </si>
  <si>
    <t>O107</t>
  </si>
  <si>
    <t>حفر ابار وتوسعة مشروع جلب المياه بنجران المرحله (2)</t>
  </si>
  <si>
    <t>حفر عدد (15) بئر وتمديد خطوط النقل بأقطار (250&amp; 600 &amp; 800) مم بأطوال تتجاوز (109كم) وإنشاء محطات ضخ</t>
  </si>
  <si>
    <t>إيقاف جزئي</t>
  </si>
  <si>
    <t>13/23/2/11/0005/1</t>
  </si>
  <si>
    <t>AP112</t>
  </si>
  <si>
    <t>مشروع تنفيذ خط ناقل من محطة الضخ 2 بشمال نجران إلى مركز بئر عسكر</t>
  </si>
  <si>
    <t xml:space="preserve"> تنفيذ خط ناقل بطول  24كم ومحطة ضخ </t>
  </si>
  <si>
    <t>شركة سالم هادي محمد ال مبارك للمقاولات شركة شخص واحد</t>
  </si>
  <si>
    <t>13/23/2/04/0004/1</t>
  </si>
  <si>
    <t>AD59</t>
  </si>
  <si>
    <t>مشروع استكمال اعمال الملاحظات لمشروع محطة معالجة مياه الصرف الصحي بمدينة نجران</t>
  </si>
  <si>
    <t xml:space="preserve"> توريد وتركيب الاغشية الحيوية بوحدات المعالجة البيولوجية بالمحطة واستكمال الاعمال الانشائية</t>
  </si>
  <si>
    <t>شركة أكواا العربية للمياه</t>
  </si>
  <si>
    <t>شركة اكواا العربية للمياه</t>
  </si>
  <si>
    <t>13/23/2/09/0006/1</t>
  </si>
  <si>
    <t>P1246</t>
  </si>
  <si>
    <t>مشروع استكمال خزان نجران العالي و المباني الملحقة (م3)</t>
  </si>
  <si>
    <t xml:space="preserve"> استكمال أعمال التشطيبات المعمارية </t>
  </si>
  <si>
    <t>شركة المسار الحديث المحدودة</t>
  </si>
  <si>
    <t>13/23/2/11/0002/1</t>
  </si>
  <si>
    <t>AP105</t>
  </si>
  <si>
    <t>مشروع تنفيد خط ناقل من مركز قطن إلى ثار بمنطقة نجران</t>
  </si>
  <si>
    <t xml:space="preserve">تنفيذ خط ناقل بطول  25 كم واستكمال الأعمال الكهربائية والميكانيكية لمحطتي الضخ في خباش والمشعلية  </t>
  </si>
  <si>
    <t>ترحيل خطوط المياه المتعارضة مع تنفيذ الأمانة لبعض مشاريع درء أخطار السيول</t>
  </si>
  <si>
    <t>13/22/2/02/0001/1</t>
  </si>
  <si>
    <t>10062</t>
  </si>
  <si>
    <t>شبكات الصرف الصحي لأحياء نجران المرحلة الثالثة عقد رقم (6)</t>
  </si>
  <si>
    <t xml:space="preserve">   تنفيذ شبكات صرف صحي بإجمالي أطوال 50.6 كم  </t>
  </si>
  <si>
    <t>مؤسسة فهاد مهدي عطشان للمقاولات العامة</t>
  </si>
  <si>
    <t>استكمال مشروع مياه الشرب لمحافظات الشمالية يدمه حبونا بدر الجنوب</t>
  </si>
  <si>
    <t>مؤسـسـة ناصـر عبداللـه أبوسـرهد للمقـــاولات .</t>
  </si>
  <si>
    <t>استكمال شبكات مياه الشرب لمحافظة شرورة المرحلة الثانية عقد رقم 1</t>
  </si>
  <si>
    <t>13/18/2/02/0037/1</t>
  </si>
  <si>
    <t>1511</t>
  </si>
  <si>
    <t>خطوط النقل الرئيسية لشبكات الصرف الصحي لاحياء جنوب مدينة نجران</t>
  </si>
  <si>
    <t xml:space="preserve">تنفيذ خطوط ناقلة باجمالى 27.2 كم وخط طرد 12 كم وتنفيذ محطة رفع </t>
  </si>
  <si>
    <t>مشروع إيصال خدمات المياه والصرف الصحي للجهات الحكومية والخاصة لعام 2022</t>
  </si>
  <si>
    <t>شركة بلر السعودية التجارية شركة شخص واحد للتجارة والمقاولات</t>
  </si>
  <si>
    <t>أحمد على عبد العاطي بلال</t>
  </si>
  <si>
    <t>جاري استلام الموقع</t>
  </si>
  <si>
    <t>كان مسحوب واعيد طرحه</t>
  </si>
  <si>
    <t>مشروع ترحيل خطوط وشبكات المياه المتعارضة مع التقاطعات رقم (3) ورقم (4) ضمن نطاق عمل مشروع الأعمال المتبقية لمشروع استكمال الطريق الساحلي السريع (الشقيق/ الطوال) مع طريق خدمة وتقاطعات (المرحلة الأولى) بمنطقة جازان</t>
  </si>
  <si>
    <t>شركة فال الجنوب للمقاولات العامة</t>
  </si>
  <si>
    <t>جاري</t>
  </si>
  <si>
    <t>12/26/2/0/OA73/1</t>
  </si>
  <si>
    <t>OA73</t>
  </si>
  <si>
    <t xml:space="preserve">مشروع استكمال تنفيذ شبكات الصرف الصحي لأحياء مدينة جازان بمنطقة جازان </t>
  </si>
  <si>
    <t xml:space="preserve">تنفيذ شبكات صرف صحي المسحوب حيث تم تنفيذ (7,081) م من المقاول السابق (القسومي) واستكمال تنفيذ الشبكات بأطوال (13,432)م مع تنفيذ عدد (6) محطات رفع </t>
  </si>
  <si>
    <t>شركة ساس انشاء للمقاولات</t>
  </si>
  <si>
    <t>أحمد سامي عقل</t>
  </si>
  <si>
    <t>مشروع تنفيذ ملاحظات الاستلام الابتدائي لمشروع تنفيذ خزانات المياه بصبيا بمنطقة جازان</t>
  </si>
  <si>
    <t>شركة ركن الصمود للمقاولات العامة</t>
  </si>
  <si>
    <t>أحمد محمد سعد عبد القادر</t>
  </si>
  <si>
    <t>مرفوع استلام ابتدائي</t>
  </si>
  <si>
    <t>اخرى</t>
  </si>
  <si>
    <t>12/26/2/1/P730-1/1</t>
  </si>
  <si>
    <t>P730-1</t>
  </si>
  <si>
    <t>تنفيذ شبكات مياه وخطوط ناقلة في محافظة ابو عريش مرحلة (1)</t>
  </si>
  <si>
    <t>تنفيذ شبكات مياه باجمالي أطوال 170 كم وخط ناقل 4 كم</t>
  </si>
  <si>
    <t>أبو عريش</t>
  </si>
  <si>
    <t>عدلي عزت عبدالعظيم ربيع</t>
  </si>
  <si>
    <t>إيصال خدمة المياه لشركة مشاريع الترفيه السعودية للمجمع الترفيهي بحي الشاطئ بمدينة جازان</t>
  </si>
  <si>
    <t>11/2/2025</t>
  </si>
  <si>
    <t>12/24/2/2/P674-1/1</t>
  </si>
  <si>
    <t>P674-1</t>
  </si>
  <si>
    <t>تنفيذ شبكة الصرف الصحي لقرى محافظة صبياء ( المرحلة الأولى)</t>
  </si>
  <si>
    <t>تنفيذ شبكات صرف صحي باجمالي أطوال 45 كم</t>
  </si>
  <si>
    <t>شركة تكنولوجيا الإنشاء والإعمار للمقاولات</t>
  </si>
  <si>
    <t>عصام احمد محمود دكروري</t>
  </si>
  <si>
    <t>عصام احمد محمود الدكروري</t>
  </si>
  <si>
    <t>مؤسسة تكنولوجيا الإنشاء والإعمارللمقاولات العامة</t>
  </si>
  <si>
    <t>12/25/2/1/P723-1/1</t>
  </si>
  <si>
    <t>P723-1</t>
  </si>
  <si>
    <t>تنفيذ شبكات المياه والخطوط الناقلة في محافظة صبيا (مرحلة أولى)</t>
  </si>
  <si>
    <t>تنفيذ شبكات المياه باجمالي أطوال 50 كم</t>
  </si>
  <si>
    <t>صبيا</t>
  </si>
  <si>
    <t>12/25/2/1/P725-1/1</t>
  </si>
  <si>
    <t>P725-1</t>
  </si>
  <si>
    <t>تنفيذ شبكات المياه وخطوط النقل في محافظتي صامطة والطوال (المرحلة الأولى)</t>
  </si>
  <si>
    <t>تنفيذ شبكات المياه باجمالي أطوال 165 كم</t>
  </si>
  <si>
    <t>صامطة</t>
  </si>
  <si>
    <t>شركة المنجوف للمقاولات والصيانة</t>
  </si>
  <si>
    <t>علي سعد احمد الكومي</t>
  </si>
  <si>
    <t>12/25/2/2/P680/1</t>
  </si>
  <si>
    <t>P680</t>
  </si>
  <si>
    <t>تنفيذ شبكة الصرف الصحي لقرى محافظة أحد المسارحة (مرحلة ثانية)</t>
  </si>
  <si>
    <t>تنفيذ شبكات الصرف الصحي باجمالي أطوال 114.6 كم</t>
  </si>
  <si>
    <t>أحد المسارحة</t>
  </si>
  <si>
    <t>شركة سعد سعيد الصاعدي وأولاده للمقاولات والصيانة</t>
  </si>
  <si>
    <t>12/25/2/2/P674-2/1</t>
  </si>
  <si>
    <t>P674-2</t>
  </si>
  <si>
    <t>تنفيذ شبكات الصرف الصحي لقرى محافظة صبيا (المرحلة الثانية)</t>
  </si>
  <si>
    <t>تنفيذ شبكات الصرف الصحي باجمالي أطوال 86 كم</t>
  </si>
  <si>
    <t>شركة برايت للتجارة والمقاولات المحدودة شركة شخص واحد</t>
  </si>
  <si>
    <t>6/24/2/4/AP170/1</t>
  </si>
  <si>
    <t>AP170</t>
  </si>
  <si>
    <t>تنفيذ أعمال نقل وتركيب محطات معالجة مياه الصرف الصحي المدمجة بمناطق مختلفة بالقطاع الجنوبي</t>
  </si>
  <si>
    <t xml:space="preserve"> نقل وتركيب محطات معالجة مياه الصرف الصحي المدمجة بمناطق مختلفة بالقطاع الجنوبي</t>
  </si>
  <si>
    <t>شركة الاداء المتوازن للمقاولات</t>
  </si>
  <si>
    <t>شركة الأداء المتوازن للمقاولات</t>
  </si>
  <si>
    <t>فحص واختبار الأعمال بمشروع شبكات مياه الشرب وخزانات بقرى هروب بمنطقة جازان</t>
  </si>
  <si>
    <t>7/20/2025</t>
  </si>
  <si>
    <t>9/3/2025</t>
  </si>
  <si>
    <t>12/25/2/1/NA-00180/1</t>
  </si>
  <si>
    <t>NA-00180</t>
  </si>
  <si>
    <t>مشروع ترحيل خط المياه الواقع بجوار مستشفى أبوعريش العام، المعترض مشروع الأعمال المتبقية لإصلاح المسارات الحالية لطرق منطقة جازان</t>
  </si>
  <si>
    <t>على حساب جهات أخرى ( حكومية / خاصة)</t>
  </si>
  <si>
    <t>مؤسسة أحمد علي مدخلي للمقاولات العامة</t>
  </si>
  <si>
    <t>ايقاف كلي</t>
  </si>
  <si>
    <t>12/25/2/1/NA-00179/1</t>
  </si>
  <si>
    <t>NA-00179</t>
  </si>
  <si>
    <t>مشروع استكمال الطريق الدولي بابوالعشر بمحافظة الدرب</t>
  </si>
  <si>
    <t xml:space="preserve"> ترحيل خط متعارض بالطريق الدولي مع وزارة النقل بطول 4.7 كم </t>
  </si>
  <si>
    <t>الدرب</t>
  </si>
  <si>
    <t>شركة العرض الانشائي للمقاولات شركة شخص واحد</t>
  </si>
  <si>
    <t>مؤسسة العرض الانشائي للمقاولات</t>
  </si>
  <si>
    <t>12/23/2/2/P670/1</t>
  </si>
  <si>
    <t>P670</t>
  </si>
  <si>
    <t>تنفيذ شبكة الصرف الصحي لقرى محافظة بيش ( المرحلة الأولى)</t>
  </si>
  <si>
    <t>تنفيذ شبكات الصرف الصحي باجمالي أطوال 35 كم</t>
  </si>
  <si>
    <t>مشاريع المدن الساحلية</t>
  </si>
  <si>
    <t>بيش</t>
  </si>
  <si>
    <t>سماء الرس للمقاولات</t>
  </si>
  <si>
    <t>12/25/2/1/P767-1/1</t>
  </si>
  <si>
    <t>P767-1</t>
  </si>
  <si>
    <t>تنفيذ تدعيم الخطوط الناقلة في محافظة بيش - مرحلة أولي</t>
  </si>
  <si>
    <t xml:space="preserve">    تنفيذ شبكات مياه بإجمالي أطوال 138.5 كم  </t>
  </si>
  <si>
    <t>12/25/2/1/P785-1/1</t>
  </si>
  <si>
    <t>P785-1</t>
  </si>
  <si>
    <t>تنفيذ شبكات توزيع المياه في محافظة ضمد (مرحلة أولى)</t>
  </si>
  <si>
    <t xml:space="preserve">  تنفيذ شبكات مياه من  بولي إيثيلين عالى الكثافة HDPE باقطار ( ٢٠٠&amp;١٦٠&amp;١١٠) باجمالي أطوال (48,300) متر لاسكان بيروت واسكان الزرقاء</t>
  </si>
  <si>
    <t>ضمد</t>
  </si>
  <si>
    <t>12/25/2/1/P760-1/1</t>
  </si>
  <si>
    <t>P760-1</t>
  </si>
  <si>
    <t>تنفيذ شبكات المياه والخطوط الناقلة في محافظة العيدابي (مرحلة أولي)</t>
  </si>
  <si>
    <t xml:space="preserve">    تنفيذ شبكات مياه من مادة بولي إيثيلين عالى الكثافةHDPE باقطار ( ٢٠٠&amp;١٦٠&amp;١١٠ )  بإجمالي أطوال (19,700) متر   </t>
  </si>
  <si>
    <t>العيدابي</t>
  </si>
  <si>
    <t>مؤسسة سماء الاتفاق للمقاولات</t>
  </si>
  <si>
    <t>12/25/2/1/P753-1/1</t>
  </si>
  <si>
    <t>P753-1</t>
  </si>
  <si>
    <t>تنفيذ شبكات المياه والخطوط الناقلة في محافظة الدرب (مرحلة أولى)</t>
  </si>
  <si>
    <t xml:space="preserve">    تنفيذ شبكات مياه بإجمالي أطوال 50.2 كم </t>
  </si>
  <si>
    <t>12/24/02/01/A16-1/1</t>
  </si>
  <si>
    <t>A16-1</t>
  </si>
  <si>
    <t>مشروع تغذية نقاط التسليم بمناطق الإمداد المرتبطة بمحطة تنقية جازان (الماطري) من بوابة الاستلام في محلية</t>
  </si>
  <si>
    <t xml:space="preserve"> تنفيذ خط ناقل بقطر 500 مم بطول 300م وخط ناقل باقطار 300 مم و200 مم بطول 4.2 كم وصممات هواء وغسيل وقفل علي الخطوط الناقلة بمحطات التغذية بمحافظات منطقة جازان ( اعمال الموقع العام بمحطة محلية - اعمال الخط الناقل من محطة محلية الي خزان ماطري - اعمال الخط الناقل من محطة المضايا - اعمال الخط الناقل من محطة الريث 1 الي محطة الريث 2)</t>
  </si>
  <si>
    <t>12/25/2/51/AP104/1</t>
  </si>
  <si>
    <t>AP104</t>
  </si>
  <si>
    <t>شركة بوابة الإعمار للمقاولات العامة</t>
  </si>
  <si>
    <t>أعيد طرحه: 121260243</t>
  </si>
  <si>
    <t>12/22/2/2/AP108/1</t>
  </si>
  <si>
    <t>AP108</t>
  </si>
  <si>
    <t>مشروع تنفيذ محطة معالجة و شبكات الصرف الصحي وخطوط الفائض بمحافظتي أحد المسارحة وصامطة</t>
  </si>
  <si>
    <t xml:space="preserve">تنفيذ شبكات صرف صحي بإجمالي أطوال 292 كم (270.6 كم شبكات انحدار و 21.4 كم خطوط الطرد) وعدد 2 محطات رفع فرعية وعدد 1 محطات الرفع الرئيسية. </t>
  </si>
  <si>
    <t>شركة بلر العربية للتجارة والمقاولات</t>
  </si>
  <si>
    <t>YES</t>
  </si>
  <si>
    <t>12/23/2/02/0013/1</t>
  </si>
  <si>
    <t>P681</t>
  </si>
  <si>
    <t>مشروع تنفيذ شبكات الصرف الصحي لمدينة فرسان (المرحلة الثانية)</t>
  </si>
  <si>
    <t xml:space="preserve"> تنفيذ شبكات صرف صحي بإجمالي أطوال 47 كم (44 كم شبكات انحدار و 3 كم خطوط الطرد) وعدد 4 محطات رفع فرعية.</t>
  </si>
  <si>
    <t>فرسان</t>
  </si>
  <si>
    <t>12/23/2/02/0017/1</t>
  </si>
  <si>
    <t>AP1074</t>
  </si>
  <si>
    <t>مشروع استكمال ربط شبكات مياه الصرف الصحي في مواقع متفرقة من محافظات منطقة جازان لخدمة طلبات التوصيلات المنزلية</t>
  </si>
  <si>
    <t>تصميم وتنفيذ محطات رفع بتصريف 30 م3/يوم  عدد (4 محطات) وتنفيذ مطابق بأعماق مختلفة وغرف صمامات وأنابيب باجمالي أطوال 31 كم</t>
  </si>
  <si>
    <t>مؤسسة نبر للمقاولات</t>
  </si>
  <si>
    <t>12/23/2/02/0011/1</t>
  </si>
  <si>
    <t>NA-00085</t>
  </si>
  <si>
    <t>التصميم والتنفيذ لمشروع (شبكات الصرف الصحي بمركز الحكامية بمحافظة (أحد المسارحة</t>
  </si>
  <si>
    <t xml:space="preserve">تصميم وتنفيذ شبكات صرف صحي بإجمالي أطوال 179 كم (171.6 كم شبكات انحدار و 7.1 كم خطوط الطرد) وعدد 1 محطات رفع فرعية وعدد 1 محطات الرفع الرئيسية. </t>
  </si>
  <si>
    <t>شركة البنايات العربية للمقاولات العامة</t>
  </si>
  <si>
    <t>شركة البنايات العربية</t>
  </si>
  <si>
    <t>12/23/2/01/0015/1</t>
  </si>
  <si>
    <t>P759</t>
  </si>
  <si>
    <t>استكمال تنفيذ شبكات المياه بمحافظة جازان وقراها</t>
  </si>
  <si>
    <t xml:space="preserve"> تنفيذ  شبكات مياه  أنابيب البولي إيثيلين عالي الكثافة (HDPE) باجمالي طول 221,370 متر طولي (الأقطار: 110 مم، 160 مم، 200 مم، 250 مم)و تنفيذ  خط دكتايل قطر  250 مم بطول  (300م  )</t>
  </si>
  <si>
    <t>المشاريع الملحة</t>
  </si>
  <si>
    <t>شركة رابكو للمقاولات و الخدمات الصناعية</t>
  </si>
  <si>
    <t>شركة رابكو للمقاولات والخدمات الصناعية</t>
  </si>
  <si>
    <t>مشروع تنفيذ محطات التوزيع بمواقع متفرقة بمنطقة جازان</t>
  </si>
  <si>
    <t>شركة بصمة التشييد للمقاولات</t>
  </si>
  <si>
    <t>12/22/2024</t>
  </si>
  <si>
    <t>8/21/2025</t>
  </si>
  <si>
    <t>12/23/2/02/0010/1</t>
  </si>
  <si>
    <t>P690</t>
  </si>
  <si>
    <t>مشروع استكمال تنفيذ شبكات الصرف الصحي لقري ابو السلع والظبية والمحله والقائم الدش وابو القعايد بمحافظة صبياء بمنطقة جازان</t>
  </si>
  <si>
    <t xml:space="preserve"> تنفيذ شبكات صرف صحي بإجمالي أطوال 87 كم (85 كم شبكة انحدار و 2 كم خطوط طرد) وعدد 2 محطات رفع فرعية وعدد 1 محطات الرفع الرئيسية. </t>
  </si>
  <si>
    <t>13/23/2/09/0010/1</t>
  </si>
  <si>
    <t>P716</t>
  </si>
  <si>
    <t>تسوير ابار و محطات مياه بمواقع مختلفة</t>
  </si>
  <si>
    <t>تنفيذ أعمال تسوير آبار ومحطات مياه بمناطق مختلفة بالقطاع للحفاظ على ممتلكات الشركةوالاستفادة من الأصول القائمة</t>
  </si>
  <si>
    <t>محمود عطيتو محمد محمود</t>
  </si>
  <si>
    <t>عصام محمود سامي مرسي</t>
  </si>
  <si>
    <t>12/23/2/01/0009/1</t>
  </si>
  <si>
    <t>NA-00078</t>
  </si>
  <si>
    <t>تنفيذ شبكات المياه بضاحية الملك عبد الله - المرحلة الثانية - عقد رقم 1 و عقد رقم 2</t>
  </si>
  <si>
    <t xml:space="preserve">   تنفيذ محطتي رفع وتنفيذ خط ناقل دكتايل قطر500 مم بطول (19,200) و تنفيذ عدد (2) خزان GLS وتنفيذ شبكاتHDPE بإجمالي أطوال (62,700) </t>
  </si>
  <si>
    <t>12/23/2/01/0016/1</t>
  </si>
  <si>
    <t>NA-00111</t>
  </si>
  <si>
    <t>استكمال ربط شبكات المياه و الخطوط الناقله تحسينها في مواقع متفرقه من محافظات منطقه جازان لخدمه لخدمه طلبات التوصيلات المنزليه</t>
  </si>
  <si>
    <t>ربط شبكات المياه باجمالي طول 31 كم وعدد 165 صمام بوابي</t>
  </si>
  <si>
    <t>مشروع إيصال خدمة المياه لمشروع مطار الملك عبد الله الجديد</t>
  </si>
  <si>
    <t>10/1/2024</t>
  </si>
  <si>
    <t>10/1/2025</t>
  </si>
  <si>
    <t>12/23/2/09/0006/1</t>
  </si>
  <si>
    <t>P719</t>
  </si>
  <si>
    <t>استكمال اعمال المواقع العامة لمحطات منطقة جازان</t>
  </si>
  <si>
    <t xml:space="preserve">اعمال مدنية عامة ( تشطيبات ) </t>
  </si>
  <si>
    <t>12/23/2/01/0002/1</t>
  </si>
  <si>
    <t>AP319</t>
  </si>
  <si>
    <t>مشروع استكمال تنفيذ المرحلة الثالثة لشبكات مياه الشرب بقري صبيا بمنطقة جازان</t>
  </si>
  <si>
    <t xml:space="preserve">  توريد وتركيب خط ناقل من الزهر المرن (DI) بقطر (300) مم وبطول (5000) متر، وتنفيذ شبكات من البولي إيثيلين عالي الكثافة (HDPE) بأقطار مختلفة (200 ، 160 &amp; 110مم) بطول اجمالي (29,700) متر، مع أعمال الثقب الافقي</t>
  </si>
  <si>
    <t>12/23/2/02/0005/1</t>
  </si>
  <si>
    <t>NA-00037</t>
  </si>
  <si>
    <t>تنفيذ شبكات الصرف الصحي بضاحية الملك عبدالله -المرحلة الثانية- عقد رقم 2 وعقد رقم 3 P664-2&amp;3</t>
  </si>
  <si>
    <t xml:space="preserve"> تنفيذ شبكات صرف صحي بإجمالي أطوال 34 كم</t>
  </si>
  <si>
    <t>مؤسسه عبدالعزيز جود الله محمد القباري للمقاولات</t>
  </si>
  <si>
    <t>مؤسسة عبدالعزيز جودالله محمد القباري للمقاولات</t>
  </si>
  <si>
    <t>تنفيذ تدعيم الخطوط الناقلة لمدينة احد المسارحة</t>
  </si>
  <si>
    <t>استلام ابتدائي(أثناء فترة الـ 60 يوم)</t>
  </si>
  <si>
    <t>7/28/2024</t>
  </si>
  <si>
    <t>7/28/2026</t>
  </si>
  <si>
    <t>12/22/2/01/0007/1</t>
  </si>
  <si>
    <t>1020</t>
  </si>
  <si>
    <t>استكمال خزانات المياه والشبكات في محافظات منطقة جازان</t>
  </si>
  <si>
    <t>تنفيذ خطوط ناقلة باجمالي أطوال  60 كم</t>
  </si>
  <si>
    <t xml:space="preserve">مشروع تنفيذ التوصيلات المنزلية وعدادات قياس التدفق لمحافظات العارضة واحد المسارحة وصامطة والطوال والحرث (المرحلة الأولي) </t>
  </si>
  <si>
    <t>تحت التنفيذ-التشغيل</t>
  </si>
  <si>
    <t>12/22/2/01/0005/1</t>
  </si>
  <si>
    <t>1018</t>
  </si>
  <si>
    <t>إعادة تأهيل الخطوط الناقلة للمياه المتضررة من السيول بمنطقة جازان (المرحلة الثانية)</t>
  </si>
  <si>
    <t>تنفيذ خطوط ناقلة باجمالي أطوال (6.3) كم وأعمال الحماية من المطقة المائية، وتنفيذ أعمال الموقع العام بموقع خزان ال 10000 م3، واستكمال الأعمال الإلكتروميكانيك لمحطات الضخ على خط صبيا العيدابي، وتصميم وتنفيذ وربط الخزان الأرضي سعة (7000م3) من غرفتين بمحطة تنقية بيش</t>
  </si>
  <si>
    <t>شركة ماكسون للمقاولات</t>
  </si>
  <si>
    <t>مشروع تنفيذ مأخد المياه الخام على سد وادي ضمد بمنطقة جازان</t>
  </si>
  <si>
    <t>10/27/2019</t>
  </si>
  <si>
    <t>1/26/2021</t>
  </si>
  <si>
    <t>تنفيذ مشروع مأخذ المياه الخام على سد وادي جازان</t>
  </si>
  <si>
    <t>9/11/2018</t>
  </si>
  <si>
    <t>8/9/2021</t>
  </si>
  <si>
    <t>12/20/2/11/0019/1</t>
  </si>
  <si>
    <t>1487</t>
  </si>
  <si>
    <t>تنفيذ الخط الناقل من محطة تنقية المياه على سد وادي ضمد لمحافظات الداير و العيدابي بمنطقة جازان</t>
  </si>
  <si>
    <t xml:space="preserve">تنفيذ خط ناقل قطر 400 مم بطول (8,900) متر مع تنفيذ خزان أرضية 10,000 م ومحطة ضخ ومبنى غرفة الكهرباء والمولد ونظام الاسكادا </t>
  </si>
  <si>
    <t>شركة سكاي العربية للمقاولات</t>
  </si>
  <si>
    <t>مشروع ربط تجمعات البيارات بشبكة الصرف الصحي لمدينة جازان</t>
  </si>
  <si>
    <t>مؤسسة سليمان القسومي للمقاولات</t>
  </si>
  <si>
    <t>1/5/2020</t>
  </si>
  <si>
    <t>1/3/2022</t>
  </si>
  <si>
    <t>مشروع تنفيذ خط الفائض لمحطة معالجة مياه الصرف الصحي بمدينة جازان بمنطقة جازان</t>
  </si>
  <si>
    <t>مؤسسة القمة الذهبية للمقاولات العامة</t>
  </si>
  <si>
    <t>تنفيذ محطة معالجة مياه الصرف الصحي سعة 16000م3 يوم ومحطة الضخ الريئسية وخط طرد الفائض بمحافظة بيش بمنطقة جازان</t>
  </si>
  <si>
    <t>4/19/2015</t>
  </si>
  <si>
    <t>8/12/2019</t>
  </si>
  <si>
    <t>12/16/2/30/0031/1</t>
  </si>
  <si>
    <t>1486</t>
  </si>
  <si>
    <t>مشروع تنفيذ التوصيلات المنزلية ومحطة الرفع للصرف الصحي بمدينة صامطة بمنطقة جازان</t>
  </si>
  <si>
    <t>تنفيذ توسعة محطة معالجة مياه الصرف الصحي سعة 44000م3/يوم ومحطة الضخ الرئيسية وخط الطردبمدينة جازان</t>
  </si>
  <si>
    <t>استكمال تنفيذ شبكات الصرف الصحي لأحياء مدينة جازان بمنطقة جازان</t>
  </si>
  <si>
    <t>مسحوب(تم إعادة الطرح 121260008)</t>
  </si>
  <si>
    <t>12/15/2020</t>
  </si>
  <si>
    <t>12/15/2023</t>
  </si>
  <si>
    <t>شبكات الصرف الصحي لمدينة أحد المسارحة ومحطات الرفع الفرعية بالشبكة بمنطقة جازان</t>
  </si>
  <si>
    <t>4/14/2012</t>
  </si>
  <si>
    <t>2/18/2023</t>
  </si>
  <si>
    <t>تنفيذ شبكات الصرف الصحي لمدينة صبياء (عقد 1) بمنطقة جازان</t>
  </si>
  <si>
    <t>6/9/2010</t>
  </si>
  <si>
    <t>4/20/2025</t>
  </si>
  <si>
    <t>مشروع تنفيذ شبكات الصرف الصحي لمدينة جازان عقد -1بمنطقة جازان</t>
  </si>
  <si>
    <t>9/1/2013</t>
  </si>
  <si>
    <t>6/18/2019</t>
  </si>
  <si>
    <t>مشروع شبكات مياه الشرب وخزانات بقرى هروب بمنطقة جازان</t>
  </si>
  <si>
    <t>هروب</t>
  </si>
  <si>
    <t>مؤسسة الحسن للمقاولات . لصاحبها محمد حسن سعيد القحطاني بالتضامن مع شركة سامد المحدودة</t>
  </si>
  <si>
    <t>11/15/2011</t>
  </si>
  <si>
    <t>11/6/2022</t>
  </si>
  <si>
    <t>ﺗﺮﺣﻴﻞ ﺧﻂ ﺍﻟﻤﻴﺎﻩ ﺍﻟﻤﻌﺘﺮﺽ ﺍﺳﺘﻜﻤﺎﻝ ﺍﺯﺩﻭﺍﺝ ﻃﺮﻳﻖ ﺧﻤﻴﺲ ﻣﺸﻴﻂ - ﺑﻴﺸﺔ ﻛﻢ ﻭﺍﺯﺩﻭﺍﺝ ﻃﺮﻳﻖ ﺻﻔﻴﺔ ﺭﻏﻮﺓ ﺍﻟﺸﻴﻖ ﻳﻌﺮﻯ )30( ﻛﻠﻢ ﺑﻤﻨﻄﻘﺔ )115 (</t>
  </si>
  <si>
    <t>عسير</t>
  </si>
  <si>
    <t>منتصر عباس مختار الشيخ</t>
  </si>
  <si>
    <t>شركة مناحي حمد مرعي للمقاولات</t>
  </si>
  <si>
    <t>ترحيل خدمات الصرف الصحي المتعارضة مع مشروع استكمال تقاطع المدينة العسكرية</t>
  </si>
  <si>
    <t>شركة اوبن تاون للمقاولات ( شخص واحد)</t>
  </si>
  <si>
    <t>محمد مسعد يسن السعيد</t>
  </si>
  <si>
    <t>ﺷﺮﻛﺔ ﺍﻭﺑﻦ ﺗﺎﻭﻥ ﻟﻠﻤﻘﺎﻭﻻﺕ  (ﺷﺨﺺ ﻭﺍﺣﺪ)</t>
  </si>
  <si>
    <t>6/25/2/2/P43/1</t>
  </si>
  <si>
    <t>P43</t>
  </si>
  <si>
    <t>مشروع تنفيذ شبكات الصرف الصحي بمحافظة رجال المع -المرحلة الرابعة</t>
  </si>
  <si>
    <t>تنفيذ شبكات الصرف الصحي باجمالي أطوال 22 كم</t>
  </si>
  <si>
    <t>رجال المع</t>
  </si>
  <si>
    <t>حسني عبدالغفار محمد</t>
  </si>
  <si>
    <t>6/25/2/2/P33/1</t>
  </si>
  <si>
    <t>P33</t>
  </si>
  <si>
    <t>مشروع تنفيذ شبكات الصرف الصحي الفرعية في محافظتي تنومة والنماص شمال منطقة عسير</t>
  </si>
  <si>
    <t>تنفيذ شبكات الصرف الصحي باجمالي أطوال 21 كم</t>
  </si>
  <si>
    <t>النماص</t>
  </si>
  <si>
    <t>محمد ياسين محمد جاب الله</t>
  </si>
  <si>
    <t>6/25/2/2/AP1068/1</t>
  </si>
  <si>
    <t>AP1068</t>
  </si>
  <si>
    <t>مشروع استكمال ربط شبكات مياه الصرف الصحي في مواقع متفرقة من محافظات منطقة عسير لخدمة طلبات التوصيلات المنزلية</t>
  </si>
  <si>
    <t>تنفيذ خطوط فرعية متفرقة لربط شبكات الصرف الصحي غير مربوطة بالمنظومة بمواقع متفرقة</t>
  </si>
  <si>
    <t>6/26/2/8/P132/1</t>
  </si>
  <si>
    <t>P132</t>
  </si>
  <si>
    <t xml:space="preserve">مشروع تنفيذ خزان جنوب احد رفيده المقترح </t>
  </si>
  <si>
    <t xml:space="preserve">خزان سعة 10,000 م3 </t>
  </si>
  <si>
    <t>أحد رفيدة</t>
  </si>
  <si>
    <t>شركة أعمال الهيثم الأساسية المحدودة</t>
  </si>
  <si>
    <t>محمد مصطفى محمود</t>
  </si>
  <si>
    <t>شركة أعمال الهيثم الاساسية المحدودة</t>
  </si>
  <si>
    <t>جاري استلام المشروع</t>
  </si>
  <si>
    <t>6/25/2/2/P27/1</t>
  </si>
  <si>
    <t>P27</t>
  </si>
  <si>
    <t>مشروع تنفيذ شبكات الصرف الصحى للمناطق المجاورة لغرب وادى بيشة بمدينة خميس مشيط</t>
  </si>
  <si>
    <t xml:space="preserve"> تنفيذ شبكات صرف صحي بإجمالي أطوال 10 كم</t>
  </si>
  <si>
    <t xml:space="preserve">مشاريع الحزمة الاولى </t>
  </si>
  <si>
    <t>خميس مشيط</t>
  </si>
  <si>
    <t>شركة سعيد عبدالله بن عطعط القحطاني للمقاولات</t>
  </si>
  <si>
    <t>لا يوجد</t>
  </si>
  <si>
    <t>6/25/2/14/AP115/1</t>
  </si>
  <si>
    <t>AP115</t>
  </si>
  <si>
    <t>ترحيل خط المياه المتعارض مع مشروع إزدواج طريق محايل بحر أبو سكينة - الحريضة (المرحلة الثانية)</t>
  </si>
  <si>
    <t xml:space="preserve">ترحيل خط مياه  قطر 300 مم بطول 7 كم والاستفادة من محطتي الأشياب القائمة أل مسهر – ال ختارش القائمة والاستفاده من تشغيلها في حالات الطوارئ </t>
  </si>
  <si>
    <t>محايل</t>
  </si>
  <si>
    <t>محمد محمود وجدي</t>
  </si>
  <si>
    <t>6/25/2/2/AP168/1</t>
  </si>
  <si>
    <t>AP168</t>
  </si>
  <si>
    <t>تنفيذ اعمال شبكات الصرف الصحي بمحافظة المجاردة عقد رقم (2)</t>
  </si>
  <si>
    <t>تنفيذ شبكات الصرف الصحي بإجمالي أطوال 29.10 كم مع تنفيذ محطة رفع تصرف (80) م3/ساعة</t>
  </si>
  <si>
    <t>المجاردة</t>
  </si>
  <si>
    <t>شركة الأسس الحديثة للمقاولات</t>
  </si>
  <si>
    <t>N/A</t>
  </si>
  <si>
    <t>6/25/2/2/AP171/1</t>
  </si>
  <si>
    <t>AP171</t>
  </si>
  <si>
    <t>تنفيذ أعمال شبكات الصرف الصحي بمحافظة تثليث - عقد رقم (1)</t>
  </si>
  <si>
    <t>تنفيذ شبكات الصرف الصحي باجمالي أطوال 6 كم</t>
  </si>
  <si>
    <t>تثليث</t>
  </si>
  <si>
    <t>شركة المشاف العربي للمقاولات</t>
  </si>
  <si>
    <t>هيثم عبدالمحسن القصبي</t>
  </si>
  <si>
    <t>مؤسسة المشاف العربي للمقاولات</t>
  </si>
  <si>
    <t>6/25/2/1/P165/1</t>
  </si>
  <si>
    <t>P165</t>
  </si>
  <si>
    <t>تنفيذ مشروع انشاء شبكات وخزانات المياه بمحافظة البرك ومراكزها - المرحلة الاولي</t>
  </si>
  <si>
    <t>تنفيذ شبكات المياه بإجمالي طول 163 كم</t>
  </si>
  <si>
    <t>البرك</t>
  </si>
  <si>
    <t>6/25/2/2/P62/1</t>
  </si>
  <si>
    <t>P62</t>
  </si>
  <si>
    <t>مشروع تنفيذ شبكات الصرف الصحي بمحافظة سراة عبيدة مرحلة ثالثة</t>
  </si>
  <si>
    <t>سراة عبيدة</t>
  </si>
  <si>
    <t>الصادق الأمين فرح</t>
  </si>
  <si>
    <t xml:space="preserve">لايوجد </t>
  </si>
  <si>
    <t>6/25/2/12/NA-00173/1</t>
  </si>
  <si>
    <t>NA-00173</t>
  </si>
  <si>
    <t>ترحيل خدمات المياه المتعارضة مع مشروع استكمال تقاطع المدينة العسكرية</t>
  </si>
  <si>
    <t>تنفيذ  خطوط بطول اجمالي 975 متر</t>
  </si>
  <si>
    <t>شركة اتحاد الرواد للمقاولات</t>
  </si>
  <si>
    <t>6/25/2/1/P11-5/1</t>
  </si>
  <si>
    <t>P11-5</t>
  </si>
  <si>
    <t>استبدال خط 900 مم المغذي للشبكة</t>
  </si>
  <si>
    <t xml:space="preserve">   تنفيذ شبكات مياه بإجمالي أطوال 7.5 كم (6.200 متر لـ 600مم / 1.300 متر لـ 400 مم)    </t>
  </si>
  <si>
    <t>شركة امداد الصحراء للمقاولات شركة شخص واحد</t>
  </si>
  <si>
    <t>محمد مسعد يسن إبراهيم</t>
  </si>
  <si>
    <t>متعثر</t>
  </si>
  <si>
    <t>6/25/2/1/P152-1/1</t>
  </si>
  <si>
    <t>P152-1</t>
  </si>
  <si>
    <t>تنفيذ أعمال شبكات المياه والخط الناقل والخزانات ومحطات الضخ بمحافظة سراة عبيدة - عقد رقم (1) - (مخططات الإسكان)</t>
  </si>
  <si>
    <t>تنفيذ شبكات المياه باجمالي أطوال 184.3 كم</t>
  </si>
  <si>
    <t>6/25/2/2/P47/1</t>
  </si>
  <si>
    <t>P47</t>
  </si>
  <si>
    <t>مشروع تنفيذ شبكات ومحطات الرفع لمياه الصرف الصحى بمنطقة أبها الحضرية -المرحلة الأولى</t>
  </si>
  <si>
    <t>أبها</t>
  </si>
  <si>
    <t>شركة الباب العالي السعودية</t>
  </si>
  <si>
    <t>احمد جودة محمد إبراهيم</t>
  </si>
  <si>
    <t>6/25/2/1/P137/1</t>
  </si>
  <si>
    <t>P137</t>
  </si>
  <si>
    <t>مشروع خطوط نقل المياه الى قرى وادي ضلع مع الخزانات ومحطات التوزيع</t>
  </si>
  <si>
    <t xml:space="preserve">تنفيذ خط ناقل بطول 0.5 كم بقطر 300 مم وخزان ارضي سعة 1500 م3 ومحطة ضخ تصرف 60 م3/ساعة ومحطة اشياب بمركز مربة </t>
  </si>
  <si>
    <t>بدر الحسيني</t>
  </si>
  <si>
    <t>بدر محمد عبدالله</t>
  </si>
  <si>
    <t>6/25/2/2/P52-1/1</t>
  </si>
  <si>
    <t>P52-1</t>
  </si>
  <si>
    <t>مشروع تنفيذ الخطوط الرئيسية للصرف الصحي بشمال مدينة خميس مشيط م1.</t>
  </si>
  <si>
    <t xml:space="preserve"> تنفيذ شبكات صرف صحي بإجمالي أطوال 65.3 كم</t>
  </si>
  <si>
    <t>6/25/2/1/AP156/1</t>
  </si>
  <si>
    <t>AP156</t>
  </si>
  <si>
    <t>مشروع تنفيذ شبكات المياه وخزانات بمحافظة الحرجة - المرحلة الأولى</t>
  </si>
  <si>
    <t xml:space="preserve">  تنفيذ شبكات مياه بإجمالي أطوال 48.6 كم وخزانات تشغيلية </t>
  </si>
  <si>
    <t>الحرجة</t>
  </si>
  <si>
    <t>6/25/2/14/AP173/1</t>
  </si>
  <si>
    <t>AP173</t>
  </si>
  <si>
    <t>انشاء مباني الحراسات الأمنية للخزانات الاستراتيجية بمواقع مختلفة بالقطاع الجنوبي</t>
  </si>
  <si>
    <t xml:space="preserve">مشروع مباني </t>
  </si>
  <si>
    <t>6/25/2/1/P123-1/1</t>
  </si>
  <si>
    <t>P123-1</t>
  </si>
  <si>
    <t>تنفيذ مشروع انشاء شبكات وخزانات المياه بمحافظة احد رفيدة المرحلة الأولى - عقد رقم 1</t>
  </si>
  <si>
    <t xml:space="preserve">  تنفيذ شبكات مياه بإجمالي أطوال 44.2 كم وخزانات مياه </t>
  </si>
  <si>
    <t>6/25/2/1/P86-1/1</t>
  </si>
  <si>
    <t>P86-1</t>
  </si>
  <si>
    <t>مشروع تنفيذ شبكات مياه الشرب لمنطقة الواديين - عقد رقم (2)</t>
  </si>
  <si>
    <t xml:space="preserve">   تنفيذ شبكات مياه بإجمالي أطوال 90.2 كم  </t>
  </si>
  <si>
    <t>مشروع توسعة محطتى الضخ رقم (1) ورقم (3) لمياه الصرف الصحى بمحافظة بيشة</t>
  </si>
  <si>
    <t>خليل أحمد الدميري</t>
  </si>
  <si>
    <t>1/27/2025</t>
  </si>
  <si>
    <t>9/27/2025</t>
  </si>
  <si>
    <t>6/25/2/1/AD18/1</t>
  </si>
  <si>
    <t>AD18</t>
  </si>
  <si>
    <t>مشروع تنفيذ خط نقل المياه من محطة التنقية على سد ترجس الى النماص المرحلة الثانية</t>
  </si>
  <si>
    <t>تنفيذ خط ناقل بطول 10,750 م.ط قطة 500 مم من خزان النماص سعة 10,000م3 الى خزان النماص التشغيلي القائم، مع تنفيذ محطة ضخ رئيسية</t>
  </si>
  <si>
    <t>6/25/2/1/P143/1</t>
  </si>
  <si>
    <t>P143</t>
  </si>
  <si>
    <t>تنفيذ أعمال شبكات مياه الشرب والخزانات ومحطات الضخ بمحافظة محايل - عقد رقم (2) - (مخططات الإسكان)</t>
  </si>
  <si>
    <t xml:space="preserve">   تنفيذ شبكات مياه بإجمالي أطوال 139 كم  ومحطة ضخ</t>
  </si>
  <si>
    <t>شركة رواد المشاريع للمقاولات</t>
  </si>
  <si>
    <t>06/23/2/01/0069/1</t>
  </si>
  <si>
    <t>NA-00107</t>
  </si>
  <si>
    <t>تنفيذ خطوط فرعية للمياه باحياء متفرقة بغرب مدينة ابها المرحلة الاولى</t>
  </si>
  <si>
    <t xml:space="preserve">   تنفيذ شبكات مياه بإجمالي أطوال 10 كم</t>
  </si>
  <si>
    <t>شركة كنز المعمار للمقاولات شخص واحد</t>
  </si>
  <si>
    <t>06/23/2/01/0066/1</t>
  </si>
  <si>
    <t>P147</t>
  </si>
  <si>
    <t>مشروع انشاء شبكات المياه لاحياء شرق مدينة أبها عقد رقم 10</t>
  </si>
  <si>
    <t xml:space="preserve">  تنفيذ خط ناقل بطول 8.5 كم  وشبكات مياه بإجمالي أطوال  82 كم</t>
  </si>
  <si>
    <t>06/23/2/01/0071/1</t>
  </si>
  <si>
    <t>AP1077</t>
  </si>
  <si>
    <t>مشروع استكمال ربط شبكات المياه والخطوط الناقلة وتحسينها في مواقع متفرقة من منطقة عسير لخدمة طلبات التوصيلات المنزلية</t>
  </si>
  <si>
    <t xml:space="preserve">  تنفيذ شبكات مياه بإجمالي أطوال 17.5 كم</t>
  </si>
  <si>
    <t>06/23/2/01/0067/1</t>
  </si>
  <si>
    <t>NA-00077</t>
  </si>
  <si>
    <t>عقد تنفيذ أعمال شبكات مياه الشرب بمحافظه رجال ألمع عقد رقم 1</t>
  </si>
  <si>
    <t xml:space="preserve">  تنفيذ شبكات مياه بإجمالي أطوال 82 كم </t>
  </si>
  <si>
    <t>شركة نفود العاذرية للمقاولات شركة شخص واحد</t>
  </si>
  <si>
    <t>مؤسسة نفود العاذرية للمقاولات</t>
  </si>
  <si>
    <t>06/23/2/01/0063/1</t>
  </si>
  <si>
    <t>NA-00088</t>
  </si>
  <si>
    <t>إنشاء شبكات المياه لأحياء مدينة أبها عقد رقم 8</t>
  </si>
  <si>
    <t xml:space="preserve">   تنفيذ شبكات مياه بإجمالي أطوال  140,4 كم</t>
  </si>
  <si>
    <t>06/23/2/02/0068/1</t>
  </si>
  <si>
    <t>AD11-1</t>
  </si>
  <si>
    <t>مشروع تنفيذ شبكات الصرف الصحي بمحافظة بلقرن المرحلة الثالثة</t>
  </si>
  <si>
    <t xml:space="preserve"> تنفيذ شبكات صرف صحي بإجمالي أطوال 38 كم</t>
  </si>
  <si>
    <t>بلقرن</t>
  </si>
  <si>
    <t>محمد عبد السلام حسين الطنطاوي</t>
  </si>
  <si>
    <t>06/23/2/01/0053/1</t>
  </si>
  <si>
    <t>NA-00072</t>
  </si>
  <si>
    <t>مشروع انشاء شبكات المياه لأحياء شرق مدينة أبها عقد رقم (9)</t>
  </si>
  <si>
    <t xml:space="preserve">   تنفيذ شبكات مياه بإجمالي أطوال  143.6 كم</t>
  </si>
  <si>
    <t>06/23/2/01/0064/1</t>
  </si>
  <si>
    <t>AP142</t>
  </si>
  <si>
    <t>مشروع إيصال خدمات المياه والصرف الصحي للجهات الحكومية والخاصة بالقطاع الجنوبي لعام 2023</t>
  </si>
  <si>
    <t xml:space="preserve"> تنفيذ خط نقل بطول 20 كم </t>
  </si>
  <si>
    <t>06/23/2/01/0055/1</t>
  </si>
  <si>
    <t>P163</t>
  </si>
  <si>
    <t>مشروع تنفيذ شبكات مياه الشرب لاحياء بجنوب مدينة خميس مشيط - عقد رقم (6)</t>
  </si>
  <si>
    <t xml:space="preserve">   تنفيذ شبكات مياه بإجمالي أطوال 166.5 كم </t>
  </si>
  <si>
    <t>06/23/2/01/0062/1</t>
  </si>
  <si>
    <t>P111</t>
  </si>
  <si>
    <t>مشروع تنفيذ خط نقل المياه من خزان البرك الى محطة التوزيع الجديدة بدبساء</t>
  </si>
  <si>
    <t xml:space="preserve"> تنفيذ خط نقل بطول 9.5 كم ومكونات محطة التوزيع</t>
  </si>
  <si>
    <t>شركة توجه المشاريع للمقاولات(شركة ذات المسئولية المحدودة شركة شخص واحد )</t>
  </si>
  <si>
    <t>شركة توجه المشاريع للمقاولات</t>
  </si>
  <si>
    <t>06/23/2/02/0046/1</t>
  </si>
  <si>
    <t>NA-00050</t>
  </si>
  <si>
    <t>تنفيذ شبكات الصرف الصحي بشمال ابها ( المرحلة الأولى- المرحلة الثانية – المرحلة الثالثة )</t>
  </si>
  <si>
    <t xml:space="preserve"> تنفيذ شبكات صرف صحي بإجمالي أطوال 65 كم وخط  ناقل بطول 15 كم</t>
  </si>
  <si>
    <t>06/23/2/01/0050/1</t>
  </si>
  <si>
    <t>P141</t>
  </si>
  <si>
    <t>مشروع تنفيذ شبكات مياه الشرب لمنطقة النماص - عقد رقم (2) بمحافظة النماص</t>
  </si>
  <si>
    <t xml:space="preserve"> تنفيذ شبكات مياه بإجمالي أطوال 118 كم </t>
  </si>
  <si>
    <t>مشروع تنفيذ أعمال ترحيل خدمات المياه والصرف الصحي المتعارضة مع الاملاك الحكومية والخاصة لعام 2023</t>
  </si>
  <si>
    <t>شركة المسار الحديثة للمقاولات شركة شخص واحد</t>
  </si>
  <si>
    <t>11/6/2024</t>
  </si>
  <si>
    <t>11/6/2025</t>
  </si>
  <si>
    <t>مشروع تنفيذ خطوط فرعية للمياه بأحياء متفرقة بمدينة ابها المرحلة الرابعة</t>
  </si>
  <si>
    <t>مؤسسة قوى البنية للمقاولات العامة</t>
  </si>
  <si>
    <t>9/15/2024</t>
  </si>
  <si>
    <t>12/7/2025</t>
  </si>
  <si>
    <t>06/23/2/02/0045/1</t>
  </si>
  <si>
    <t>P31</t>
  </si>
  <si>
    <t>مشروع تنفيذ شبكات الصرف الصحى بمخطط الشروق بمدينة أبها</t>
  </si>
  <si>
    <t xml:space="preserve"> تنفيذ شبكات صرف صحي بإجمالي أطوال 12.5 كم</t>
  </si>
  <si>
    <t>06/23/2/11/0041/1</t>
  </si>
  <si>
    <t>P115</t>
  </si>
  <si>
    <t>مشروع خطوط نقل المياه الى قرى وسهول بللحمر مع الخزانات ومحطة التوزيع مرحلة 1</t>
  </si>
  <si>
    <t xml:space="preserve"> تنفيذ خطوط نقل بطول 60 كم وخزان آرضي 1000م3 و2 خزان تشغيلي  2500م3 و 3 محطات توزيع</t>
  </si>
  <si>
    <t>بللحمر</t>
  </si>
  <si>
    <t>06/23/2/02/0060/1</t>
  </si>
  <si>
    <t>NA-00066</t>
  </si>
  <si>
    <t>مشروع تنفيذ شبكات الصرف الصحي بمركز تندحة والمناطق المجاورة</t>
  </si>
  <si>
    <t xml:space="preserve"> تنفيذ شبكات صرف صحي بإجمالي أطوال  63.2 كم</t>
  </si>
  <si>
    <t>شركة وتد العربية .</t>
  </si>
  <si>
    <t>06/23/2/04/0049/1</t>
  </si>
  <si>
    <t>P1884-1</t>
  </si>
  <si>
    <t>مشروع تأهيل محطة معالجة مياه الصرف الصحي بمحافظة بلقرن</t>
  </si>
  <si>
    <t>التأهيل للمنشآت المدنية و الكهروميكانيكية</t>
  </si>
  <si>
    <t>06/23/2/50/0056/1</t>
  </si>
  <si>
    <t>P1879</t>
  </si>
  <si>
    <t>مشروع تنفيذ الخطوط الفرعية والتوصيلات المنزلية للصرف الصحي باحياء متفرقة بمركز الواديين - المرحلة الأولى</t>
  </si>
  <si>
    <t xml:space="preserve"> تنفيذ شبكات صرف صحي بإجمالي أطوال 23.4 كم</t>
  </si>
  <si>
    <t>06/23/2/11/0048/1</t>
  </si>
  <si>
    <t>AP130</t>
  </si>
  <si>
    <t>مشروع تنفيد خط ناقل ومحطة توزيع المياه إلى مركز النقيع بشمال بيشة</t>
  </si>
  <si>
    <t xml:space="preserve"> تنفيذ خط ناقل بطول 44.3 كم  وخزانين معدنيين سعة 5000م3وخزان عالي ومحطة توزيع </t>
  </si>
  <si>
    <t>بيشة</t>
  </si>
  <si>
    <t>شركة شبكة الإنشاء للمقاولات</t>
  </si>
  <si>
    <t>06/23/2/01/0057/1</t>
  </si>
  <si>
    <t>P157</t>
  </si>
  <si>
    <t>تنفيذ أعمال شبكات مياه الشرب والخزانات بمحافظة محايل - عقد رقم (4)</t>
  </si>
  <si>
    <t xml:space="preserve"> تنفيذ شبكات مياه بإجمالي أطوال 149 كم </t>
  </si>
  <si>
    <t>06/23/2/12/0040/1</t>
  </si>
  <si>
    <t>P24</t>
  </si>
  <si>
    <t>مشروع تنفيذ خطوط فرعية للصرف الصحى لأحياء متفرقة شرق مدينة أبها - المرحلة الثالثة</t>
  </si>
  <si>
    <t xml:space="preserve"> تنفيذ شبكات صرف صحي بإجمالي أطوال 21.70 كم</t>
  </si>
  <si>
    <t>مؤسسة الهدف المثالي لصاحبها عبدالله علي عبدالله عسيري</t>
  </si>
  <si>
    <t>مؤسسة الهدف المثالي للمقاولات. لصاحبها عبدالله علي عبدالله أبو عشي</t>
  </si>
  <si>
    <t>06/23/2/01/0039/1</t>
  </si>
  <si>
    <t>AP169</t>
  </si>
  <si>
    <t>تنفيذ اعمال شبكات مياة الشرب بمحافظة بارق - عقد رقم (2)</t>
  </si>
  <si>
    <t xml:space="preserve"> تنفيذ شبكات مياه بإجمالي أطوال 87 كم </t>
  </si>
  <si>
    <t>بارق</t>
  </si>
  <si>
    <t>مشروع تنفيذ أعمال ترحيل خدمات المياه والصرف الصحي المتعارضة مع الاملاك الحكومية والخاصة لعام 2022</t>
  </si>
  <si>
    <t>9/3/2024</t>
  </si>
  <si>
    <t>06/23/2/01/0047/1</t>
  </si>
  <si>
    <t>NA-00038</t>
  </si>
  <si>
    <t>تنفيذ شبكات مياه الشرب لأحياء وسط مدينة خميس مشيط - المرحلة الثالثة - عقد رقم 1</t>
  </si>
  <si>
    <t>تنفيذ خطوط ناقلة باجمالي طول 12.5 كم و  خزانات تشغيلية 2*3800م3</t>
  </si>
  <si>
    <t>06/23/2/11/0038/1</t>
  </si>
  <si>
    <t>AP154</t>
  </si>
  <si>
    <t>مشروع تنفيد خط ناقل ومحطة توزيع المياه لقرى شمال محافظة تثليث</t>
  </si>
  <si>
    <t>تنفيذ محطة ربة خزان ارضي 1000م3 وخزان علوي 150م3 وخط ناقل قطر 150مم بطول 10.9كم وقطر 200مم لطول 17.4كم  ومحطة القيره خزان ارضي 500م3 وخزان علوي 150م3 وخط ناقل قطر 150مم بطول 37 كم</t>
  </si>
  <si>
    <t>06/23/2/01/0052/1</t>
  </si>
  <si>
    <t>NA-00051</t>
  </si>
  <si>
    <t>مشروع تنفيذ شبكات مياه الشرب لمنطقه تنومه - عفد رقم (1)</t>
  </si>
  <si>
    <t xml:space="preserve">  تنفيذ شبكات مياه بإجمالي أطوال 78.1 كم  وخزان تشغيلي  5000م3</t>
  </si>
  <si>
    <t>تنومة</t>
  </si>
  <si>
    <t>06/23/2/12/0036/1</t>
  </si>
  <si>
    <t>10288</t>
  </si>
  <si>
    <t>مشروع تنفيذ خطوط فرعية للصرف الصحي بأحياء متفرقة في مدينة خميس مشيط – مرحلة ثالثة</t>
  </si>
  <si>
    <t xml:space="preserve"> تنفيذ شبكات صرف صحي بإجمالي أطوال 9 كم  </t>
  </si>
  <si>
    <t>06/23/2/11/0051/1</t>
  </si>
  <si>
    <t>P145-1</t>
  </si>
  <si>
    <t>تنفيذ أعمال شبكات المياه والخط الناقل والخزانات ومحطات الضخ بمحافظة تثليث - عقد رقم (1) - (مخططات الإسكان)</t>
  </si>
  <si>
    <t>تنفيذ خزان سعة 15000م3 ومحطة ضخ  وشبكات مياه بإجمالي أطوال  152.4 كم وخط ناقل  بطول 22.3 كم</t>
  </si>
  <si>
    <t>06/23/2/01/0035/1</t>
  </si>
  <si>
    <t>10286</t>
  </si>
  <si>
    <t>مشروع تنفيذ أعمال شبكات مياه الشرب بمحافظة ظهران الجنوب - عقد رقم (1)</t>
  </si>
  <si>
    <t xml:space="preserve">  تنفيذ شبكات مياه بإجمالي أطوال 151 كم وخطوط ناقلة بطول 10.2كم</t>
  </si>
  <si>
    <t>ظهران الجنوب</t>
  </si>
  <si>
    <t>06/23/2/11/0027/1</t>
  </si>
  <si>
    <t>10250</t>
  </si>
  <si>
    <t>مشروع انشاء الخط الناقل من محطة الضخ عند أبار دنن باتجاه مركز صمخ بمنطقة عسير</t>
  </si>
  <si>
    <t>تنفيذ خط ناقل بطول 28.6 كم</t>
  </si>
  <si>
    <t>06/23/2/01/0028/1</t>
  </si>
  <si>
    <t>P117</t>
  </si>
  <si>
    <t>مشروع انشاء شبكات المياه لاحياء شرق مدينة أبها عقد رقم -7</t>
  </si>
  <si>
    <t xml:space="preserve">  تنفيذ خط ناقل بطول 11.6كم  وشبكات مياه بإجمالي أطوال  60,9 كم</t>
  </si>
  <si>
    <t>شركة عبد المحسن شعبان القحطانى للمقاولات</t>
  </si>
  <si>
    <t>مؤسة عبدالمحسن شعبان القحطاني للمقاولات</t>
  </si>
  <si>
    <t>06/23/2/08/0029/1</t>
  </si>
  <si>
    <t>P110</t>
  </si>
  <si>
    <t>مشروع انشاء خزان التجميع ومحطة التوزيع في مركز صمخ بمحافظة بيشة</t>
  </si>
  <si>
    <t>تنفيذ خزان تجميع ومحطة توزيع بسعة خزان أرضي 2500 م3 وخزان عالي بسعة 250 م3 مع محطة التوزيع</t>
  </si>
  <si>
    <t>شركة مشروعات المياه والطاقة للمقاولات</t>
  </si>
  <si>
    <t>شركة مشروعات المياة والطاقة للمقاولات</t>
  </si>
  <si>
    <t>06/23/2/01/0032/2</t>
  </si>
  <si>
    <t>P93</t>
  </si>
  <si>
    <t>تنفيذ أعمال شبكات مياه الشرب بمحافظة بيشة - عقد رقم (1)</t>
  </si>
  <si>
    <t xml:space="preserve">   تنفيذ شبكات مياه بإجمالي أطوال  116 كم </t>
  </si>
  <si>
    <t>مشروع انشاء محطة ضخ المياه على الخط الناقل باتجاه مركز صمخ بمحافظة بيشة</t>
  </si>
  <si>
    <t>6/6/2024</t>
  </si>
  <si>
    <t>6/6/2025</t>
  </si>
  <si>
    <t>12/25/2/11/AP3590/1</t>
  </si>
  <si>
    <t>AP3590</t>
  </si>
  <si>
    <t>مشروع تنفيذ وإعادة تأهيل منظومة النقل والضخ للمياه لمحافظات القطاع الجبلي بمنطقة جازان</t>
  </si>
  <si>
    <t>الدائر</t>
  </si>
  <si>
    <t>شركة أعيان النخبة للمقاولات</t>
  </si>
  <si>
    <t>مؤسسة أعيان النخبة للمقاولات العامة</t>
  </si>
  <si>
    <t>مشروع تنفيذ ملاحظات الاستلام الابتدائي لمشروع تنفيذ شبكات الصرف الصحي لمدينة جازان عقد 1 بمنطقة جازان</t>
  </si>
  <si>
    <t>شركة روابط الحرور المحدودة</t>
  </si>
  <si>
    <t>06/23/2/01/0034/1</t>
  </si>
  <si>
    <t>10287</t>
  </si>
  <si>
    <t>مشروع تنفيذ أعمال شبكات مياه الشرب بمحافظة محايل - عقد رقم (3)</t>
  </si>
  <si>
    <t xml:space="preserve"> تنفيذ شبكات مياه بإجمالي أطوال 183كم</t>
  </si>
  <si>
    <t>06/23/2/01/0026/1</t>
  </si>
  <si>
    <t>P129</t>
  </si>
  <si>
    <t>مشروع تنفيذ شبكات مياه الشرب لاحيا ء بشمال مدينة خميس مشيط - عقد رقم (2)</t>
  </si>
  <si>
    <t xml:space="preserve">  تنفيذ شبكات مياه بإجمالي أطوال  152.2 كم </t>
  </si>
  <si>
    <t>06/23/2/08/0030/1</t>
  </si>
  <si>
    <t>10259</t>
  </si>
  <si>
    <t>مشروع إنشاء خزانات ومحطات توزيع المياه بامتداد جنوب محافظة تثليث</t>
  </si>
  <si>
    <t>تنفيذ محطة الحمضه خزان ارضي 2000 م3 ومبني مضخات وخط ناقل 1250م ومحطة عمائر ال حمدان خزان ارضي 2000م3 ومبني مضخات وخط ناقل 1260م</t>
  </si>
  <si>
    <t>06/23/2/01/0025/1</t>
  </si>
  <si>
    <t>P1886</t>
  </si>
  <si>
    <t>مشروع انشاء خزان التجميع ومحطة التوزيع رقم 1 على طريق تثليث الامواه</t>
  </si>
  <si>
    <t xml:space="preserve">  تنفيذ خزان التجميع سعة  2500 م3 ومحطة توزيع وتأهيل المباني القائمه</t>
  </si>
  <si>
    <t>06/23/2/01/0019/1</t>
  </si>
  <si>
    <t>P139</t>
  </si>
  <si>
    <t>مشروع تنفيذ شبكات مياه الشرب لاحياء بشمال مدينة خميس مشيط - عقد رقم (4)</t>
  </si>
  <si>
    <t xml:space="preserve">   تنفيذ شبكات مياه بإجمالي أطوال 118.6كم</t>
  </si>
  <si>
    <t>06/23/2/11/0017/1</t>
  </si>
  <si>
    <t>P128</t>
  </si>
  <si>
    <t>مشروع تنفيذ خط النقل ومحطة الضخ وخزانات شمال خميس مشيط العقد 1</t>
  </si>
  <si>
    <t xml:space="preserve">  تنفيذ خط نقل بطول 13 كم ومحطة ضخ و 2 خزان حديدي 30,000م3 لكل خزان</t>
  </si>
  <si>
    <t>06/23/2/01/0023/1</t>
  </si>
  <si>
    <t>P153</t>
  </si>
  <si>
    <t>مشروع تنفيذ شبكات مياه الشرب لمحافظة طريب - عقد رقم (1)</t>
  </si>
  <si>
    <t xml:space="preserve">   تنفيذ شبكات مياه بإجمالي أطوال 137.3كم وخط ناقل بطول   1,6 كم وخزان تشغيلي 10,000م3 </t>
  </si>
  <si>
    <t>طريب</t>
  </si>
  <si>
    <t>06/23/2/01/0024/1</t>
  </si>
  <si>
    <t>P87</t>
  </si>
  <si>
    <t>تنفيذ أعمال شبكات مياه الشرب بمحافظة بيشة - عقد رقم (2) - (مخططات الإسكان)</t>
  </si>
  <si>
    <t xml:space="preserve">   تنفيذ شبكات مياه بإجمالي أطوال 80 كم</t>
  </si>
  <si>
    <t>06/23/2/01/0022/1</t>
  </si>
  <si>
    <t>AP129</t>
  </si>
  <si>
    <t>مشروع تنفيد خط ناقل ومحطة توزيع المياه إلى مركز العطف بشمال بيشة</t>
  </si>
  <si>
    <t xml:space="preserve"> تنفيذ خط ناقل بطول  2.5 كم ومحطة ضخ وخزان عالي  300 م3ومحطة توزيع</t>
  </si>
  <si>
    <t>06/23/2/01/0015/1</t>
  </si>
  <si>
    <t>P118</t>
  </si>
  <si>
    <t>مشروع تنفيذ شبكات مياه الشرب لاحياء وسط مدينة خميس مشيط - عقد رقم (3)</t>
  </si>
  <si>
    <t xml:space="preserve">  تنفيذ شبكات مياه بإجمالي أطوال 111 كم وترقية محطات الضخ خزان الشرق</t>
  </si>
  <si>
    <t>06/23/2/01/0013/1</t>
  </si>
  <si>
    <t>P162</t>
  </si>
  <si>
    <t>مشروع تنفيذ شبكات مياه الشرب لاحياء بجنوب مدينة خميس مشيط - عقد رقم (5)</t>
  </si>
  <si>
    <t xml:space="preserve">  تنفيذ شبكات مياه الشرب بإجمالي أطوال  43.3 كم </t>
  </si>
  <si>
    <t>06/23/2/01/0014/1</t>
  </si>
  <si>
    <t>P161</t>
  </si>
  <si>
    <t>مشروع تنفيذ شبكات مياه الشرب لاحياء بجنوب مدينة خميس مشيط - عقد رقم ( 4)</t>
  </si>
  <si>
    <t xml:space="preserve"> تنفيذ شبكات مياه الشرب بإجمالي أطوال 93.7كم </t>
  </si>
  <si>
    <t>06/23/2/01/0020/1</t>
  </si>
  <si>
    <t>AP155</t>
  </si>
  <si>
    <t>مشروع تنفيذ خط ناقل ومحطة توزيع المياه إلى مراكز وقرى شرق تثليث</t>
  </si>
  <si>
    <t>تنفيذ محطة الزرق خزان ارضي 2000م3 ومحطة ضخ ومبني كلور وخزان علوي 150م3 وخط ناقل 1550م &amp;محطة واسط خزان ارضي 1000م3 ومحطة ضخ وخزان علوي 150م3 وخط ناقل 2200م</t>
  </si>
  <si>
    <t>06/23/2/01/0021/1</t>
  </si>
  <si>
    <t>P152-2</t>
  </si>
  <si>
    <t>تنفيذ أعمال شبكات مياه الشرب بمحافظة سراة عبيدة - عقد رقم (2)</t>
  </si>
  <si>
    <t xml:space="preserve"> تنفيذ شبكات مياه بإجمالي أطوال 183.6كم</t>
  </si>
  <si>
    <t>06/23/2/01/0016/1</t>
  </si>
  <si>
    <t>P140</t>
  </si>
  <si>
    <t>مشروع تنفيذ شبكات مياه الشرب لمنطقة النماص - عقد رقم (1) بمحافظة النماص</t>
  </si>
  <si>
    <t xml:space="preserve"> تنفيذ شبكات مياه بإجمالي أطوال 36 كم وخط ناقل بطول 1.1 كم  و 2 خزان تشغيلي سعة 5000 م3 مع محطة ضخ</t>
  </si>
  <si>
    <t>06/23/2/01/0033/1</t>
  </si>
  <si>
    <t>P148</t>
  </si>
  <si>
    <t>مشروع تنفيذ شبكات مياه الشرب لأحياء بجنوب مدينة خميس مشيط - عقد رقم (1)</t>
  </si>
  <si>
    <t xml:space="preserve"> تنفيذ شبكات مياه بإجمالي أطوال 142.3 كم  </t>
  </si>
  <si>
    <t>شركة عبدالله إبراهيم الصايغ وأولاده للمقاولات</t>
  </si>
  <si>
    <t>شركة عبدالله ابراهيم الصائغ واولادة للتجارة والمقاولات</t>
  </si>
  <si>
    <t>06/23/2/01/0006/1</t>
  </si>
  <si>
    <t>10208</t>
  </si>
  <si>
    <t>مشروع تنفيذ شبكات مياه الشرب لاحياء بجنوب مدينة خميس مشيط - عقد رقم (2)</t>
  </si>
  <si>
    <t xml:space="preserve">   تنفيذ شبكات مياه بإجمالي أطوال  88,4 كم </t>
  </si>
  <si>
    <t>06/23/2/01/0007/1</t>
  </si>
  <si>
    <t>P142-1</t>
  </si>
  <si>
    <t>مشروع تنفيذ شبكات مياه الشرب لمحافظة بلقرن - عقد رقم (1)</t>
  </si>
  <si>
    <t xml:space="preserve">   تنفيذ شبكات مياه بإجمالي أطوال  46.5 كم وتنفيذ خزان تشغيلي  بسعة 10000 م ومحطة ضخ</t>
  </si>
  <si>
    <t>06/23/2/02/0005/1</t>
  </si>
  <si>
    <t>10207</t>
  </si>
  <si>
    <t>مشروع تنفيذ شبكات الصرف الصحى لحى الوسام والمناطق المجاورة له بمدينة خميس مشيط</t>
  </si>
  <si>
    <t xml:space="preserve">  تنفيذ شبكات صرف صحي بإجمالي أطوال 43.1 كم  مع تنفيذ محطات رفع</t>
  </si>
  <si>
    <t>06/23/2/02/0004/1</t>
  </si>
  <si>
    <t>10075</t>
  </si>
  <si>
    <t>مشروع تنفيذ شبكات الصرف الصحى لأحياء متفرقة جنوب خميس مشيط - المرحلة الرابعة</t>
  </si>
  <si>
    <t xml:space="preserve">  تنفيذ شبكات صرف صحي بإجمالي أطوال 28.5 كم  مع تنفيذ محطات رفع</t>
  </si>
  <si>
    <t>06/23/2/01/0002/1</t>
  </si>
  <si>
    <t>10090</t>
  </si>
  <si>
    <t>مشروع تنفيذ شبكات مياه الشرب لاحياء وسط مدينة خميس مشيط  - عقد رقم (4)</t>
  </si>
  <si>
    <t xml:space="preserve">    تنفيذ شبكات مياه بإجمالي أطوال  131 كم </t>
  </si>
  <si>
    <t>06/23/2/09/0003/1</t>
  </si>
  <si>
    <t>10142</t>
  </si>
  <si>
    <t>تنفيذ الحماية السلبية للخزانات الاستراتيجية بمواقع متفرقة بالقطاع الجنوبي</t>
  </si>
  <si>
    <t xml:space="preserve">اسوار الحماية السلبيه للخزانات الاستراتيجية بمناطق متفرقة بالقطاع الجنوبي </t>
  </si>
  <si>
    <t>إيرادات الشركة</t>
  </si>
  <si>
    <t>مشروع انشاء شبكات المياه بمحافظة محايل عسير المرحلة الأولى - عقد رقم (1)</t>
  </si>
  <si>
    <t>12/21/2022</t>
  </si>
  <si>
    <t>1/4/2025</t>
  </si>
  <si>
    <t>توسعة شبكات المياه بشمال وغرب مدينة أبها - المرحلة الأولى</t>
  </si>
  <si>
    <t>9/13/2022</t>
  </si>
  <si>
    <t>2/5/2025</t>
  </si>
  <si>
    <t>تنفيذ شبكات مياه الشرب لأحياء شرق مدينة أبها - عقد رقم 6</t>
  </si>
  <si>
    <t>مؤسـسـة مناحي حمد مرعي الشهراني للمقاولات</t>
  </si>
  <si>
    <t>5/10/2022</t>
  </si>
  <si>
    <t>8/5/2024</t>
  </si>
  <si>
    <t>مشروع خطوط النقل من خزانات جنوب أبها الاستراتيجية الى منطقة شرق أبها مع خط التغذية</t>
  </si>
  <si>
    <t>تنفيذ شبكات مياه الشرب لأحياء متفرقة بمدينة خميس مشيط - المرحلة الثانية عقد رقم 3</t>
  </si>
  <si>
    <t>9/11/2022</t>
  </si>
  <si>
    <t>1/19/2025</t>
  </si>
  <si>
    <t>تنفيذ شبكات مياه الشرب لأحياء شرق مدينة أبها - عقد رقم 5</t>
  </si>
  <si>
    <t>3/20/2022</t>
  </si>
  <si>
    <t>8/11/2024</t>
  </si>
  <si>
    <t>06/22/2/01/0010/1</t>
  </si>
  <si>
    <t>677</t>
  </si>
  <si>
    <t>تنفيذ شبكات مياه الشرب بمحافظة بارق - عقد رقم 1</t>
  </si>
  <si>
    <t>شركة سعيد سعد بخروش للتجارة والمقاولات المحدودة</t>
  </si>
  <si>
    <t>06/22/2/01/0005/1</t>
  </si>
  <si>
    <t>674</t>
  </si>
  <si>
    <t>تنفيذ شبكات مياه الشرب بمحافظة المجاردة - عقد رقم 1</t>
  </si>
  <si>
    <t>مشروع تنفيذ شبكات مياه الشرب لأحياء شرق مدينة أبها عقد رقم 3</t>
  </si>
  <si>
    <t>3/3/2022</t>
  </si>
  <si>
    <t>6/2/2024</t>
  </si>
  <si>
    <t>مشروع تنفيذ الخزانات التشغيلية لخدمة الشبكات القائمة بشرق مدينة أبها</t>
  </si>
  <si>
    <t>مشروع تنفيذ شبكات مياه الشرب لأحياء شرق مدينة أبها - عقد رقم (4)</t>
  </si>
  <si>
    <t>2/28/2022</t>
  </si>
  <si>
    <t>8/12/2024</t>
  </si>
  <si>
    <t>تنفيذ شبكات مياه الشرب لأحياء جنوب مدينة خميس مشيط - عقد رقم 3</t>
  </si>
  <si>
    <t>7/24/2022</t>
  </si>
  <si>
    <t>9/10/2024</t>
  </si>
  <si>
    <t>تنفيذ شبكات مياه الشرب لأحياء شمال مدينة خميس مشيط - عقد رقم 3</t>
  </si>
  <si>
    <t>مشروع الاشراف على تنفيذ مشروع الخط الناقل لمياه المعالجة من محطات ابها وخميس مشيط الي المنتزة الوطني ببيشة وادي بن هشبل</t>
  </si>
  <si>
    <t>وادي بن هشبل</t>
  </si>
  <si>
    <t>شركة بن جار الله للمقاولات</t>
  </si>
  <si>
    <t>9/11/2019</t>
  </si>
  <si>
    <t>12/24/2025</t>
  </si>
  <si>
    <t>مشروع تنفيذ شبكات الصرف الصحي لمدينة جازان عقد-2</t>
  </si>
  <si>
    <t>6/24/2013</t>
  </si>
  <si>
    <t>9/13/2017</t>
  </si>
  <si>
    <t>‏مشروع تنفيذ شبكات مياه الشرب وخزانات بقرى محافظة الحرث بمنطقة جازان المرحلة الأولى</t>
  </si>
  <si>
    <t>‏شركة سعد المبطي وشركاه للمقاولات</t>
  </si>
  <si>
    <t>مشروع شبكات المياه بقرى محافظة الحرث بمنطقة جازان (المرحلة الثانية)</t>
  </si>
  <si>
    <t>مؤسسه الشبكات الكبرى للتجاره لصاحبها سعيد محمد علي الزهراني</t>
  </si>
  <si>
    <t>مشروع تنفيذ شبكات الصرف الصحي لأحياء مدينة جازان</t>
  </si>
  <si>
    <t>شركة سيركون للمقاولات العامة</t>
  </si>
  <si>
    <t>مشروع الخط الناقل من خزانات التحلية بأبو عريش الى خزانات الاساملة والخضراء مع محطة الضخ بمنطقة جازان</t>
  </si>
  <si>
    <t>(شركة الكبريش غالبا) مؤسسة عبدالله محمد عبدالله حسين للمقاولات</t>
  </si>
  <si>
    <t>مؤسسة عبدالله محمد عبدالله حسين للمقاولات</t>
  </si>
  <si>
    <t>استكمال الخط الناقل من خزانات الريث إلى محافظة الريث بمنطقة جازان</t>
  </si>
  <si>
    <t>شركة أصول البناء للمقاولات</t>
  </si>
  <si>
    <t>#</t>
  </si>
  <si>
    <t>التصنيف الرئيسي</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</si>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</sst>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 &quot;M&quot;"/>
  </numFmts>
  <fonts count="11" x14ac:knownFonts="1">
    <font>
      <sz val="11"/>
      <color theme="1"/>
      <name val="Arial"/>
      <family val="2"/>
      <scheme val="minor"/>
    </font>
    <font>
      <sz val="11"/>
      <color theme="1"/>
      <name val="Arial"/>
      <family val="2"/>
      <scheme val="minor"/>
    </font>
    <font>
      <sz val="11"/>
      <color theme="2"/>
      <name val="Calibri"/>
      <family val="2"/>
    </font>
    <font>
      <sz val="11"/>
      <color theme="2"/>
      <name val="Arial"/>
      <family val="2"/>
      <scheme val="minor"/>
    </font>
    <font>
      <sz val="11"/>
      <name val="Calibri"/>
      <family val="2"/>
    </font>
    <font>
      <sz val="11"/>
      <name val="Arial"/>
      <family val="2"/>
      <scheme val="minor"/>
    </font>
    <font>
      <sz val="12"/>
      <name val="Tahoma"/>
      <family val="2"/>
    </font>
    <font>
      <sz val="10"/>
      <name val="Tahoma"/>
      <family val="2"/>
    </font>
    <font>
      <sz val="10"/>
      <name val="Arial"/>
      <family val="2"/>
      <scheme val="minor"/>
    </font>
    <font>
      <sz val="11"/>
      <color rgb="FFFF0000"/>
      <name val="Calibri"/>
      <family val="2"/>
    </font>
    <font>
      <b/>
      <sz val="11"/>
      <color rgb="FFC00000"/>
      <name val="Calibri"/>
      <family val="2"/>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auto="1"/>
        <bgColor indexed="64"/>
      </patternFill>
    </fill>
    <fill>
      <patternFill patternType="solid">
        <fgColor theme="2"/>
        <bgColor indexed="64"/>
      </patternFill>
    </fill>
    <fill>
      <patternFill patternType="solid">
        <fgColor indexed="65"/>
        <bgColor indexed="64"/>
      </patternFill>
    </fill>
    <fill>
      <patternFill patternType="solid">
        <fgColor rgb="FFFF0000"/>
        <bgColor indexed="64"/>
      </patternFill>
    </fill>
  </fills>
  <borders count="10">
    <border>
      <left/>
      <right/>
      <top/>
      <bottom/>
      <diagonal/>
    </border>
    <border>
      <left style="hair">
        <color theme="1"/>
      </left>
      <right style="hair">
        <color theme="1"/>
      </right>
      <top style="medium">
        <color rgb="FF000000"/>
      </top>
      <bottom style="hair">
        <color rgb="FF000000"/>
      </bottom>
      <diagonal/>
    </border>
    <border>
      <left style="thin">
        <color indexed="64"/>
      </left>
      <right style="medium">
        <color indexed="64"/>
      </right>
      <top style="thin">
        <color indexed="64"/>
      </top>
      <bottom style="thin">
        <color indexed="64"/>
      </bottom>
      <diagonal/>
    </border>
    <border>
      <left style="hair">
        <color theme="1"/>
      </left>
      <right style="hair">
        <color theme="1"/>
      </right>
      <top style="hair">
        <color theme="1"/>
      </top>
      <bottom/>
      <diagonal/>
    </border>
    <border>
      <left/>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3" tint="0.89999084444715716"/>
      </left>
      <right style="thin">
        <color theme="3" tint="0.89999084444715716"/>
      </right>
      <top style="thin">
        <color theme="3" tint="0.89999084444715716"/>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s>
  <cellStyleXfs count="2">
    <xf numFmtId="0" fontId="0" fillId="0" borderId="0"/>
    <xf numFmtId="43" fontId="1" fillId="0" borderId="0"/>
  </cellStyleXfs>
  <cellXfs count="114">
    <xf numFmtId="0" fontId="0" fillId="0" borderId="0" xfId="0"/>
    <xf numFmtId="0" fontId="2" fillId="0" borderId="0" xfId="0" applyFont="1" applyAlignment="1">
      <alignment horizontal="center" vertical="center"/>
    </xf>
    <xf numFmtId="43" fontId="2" fillId="0" borderId="0" xfId="1" applyFont="1" applyAlignment="1">
      <alignment horizontal="center" vertical="center"/>
    </xf>
    <xf numFmtId="0" fontId="2" fillId="0" borderId="0" xfId="0" applyFont="1" applyAlignment="1">
      <alignment horizontal="center" vertical="center" wrapText="1"/>
    </xf>
    <xf numFmtId="4"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43" fontId="4" fillId="0" borderId="0" xfId="1" applyFont="1" applyAlignment="1">
      <alignment horizontal="center" vertical="center"/>
    </xf>
    <xf numFmtId="0" fontId="4" fillId="0" borderId="0" xfId="0" applyFont="1" applyAlignment="1">
      <alignment horizontal="center" vertical="center" wrapText="1"/>
    </xf>
    <xf numFmtId="4"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5" fillId="0" borderId="0" xfId="0" applyFont="1" applyAlignment="1">
      <alignment horizontal="center" vertical="center"/>
    </xf>
    <xf numFmtId="14" fontId="4" fillId="0" borderId="0" xfId="0" applyNumberFormat="1" applyFont="1" applyAlignment="1">
      <alignment horizontal="center" vertical="center"/>
    </xf>
    <xf numFmtId="0" fontId="5" fillId="0" borderId="0" xfId="0" applyFont="1"/>
    <xf numFmtId="0" fontId="4" fillId="0" borderId="2" xfId="0" applyFont="1" applyBorder="1" applyAlignment="1">
      <alignment horizontal="center" vertical="center"/>
    </xf>
    <xf numFmtId="0" fontId="6" fillId="0" borderId="0" xfId="0" applyFont="1" applyAlignment="1">
      <alignment horizontal="center" vertical="center" wrapText="1"/>
    </xf>
    <xf numFmtId="14" fontId="4" fillId="0" borderId="0" xfId="0" applyNumberFormat="1" applyFont="1" applyAlignment="1">
      <alignment horizontal="center" vertical="center" wrapText="1"/>
    </xf>
    <xf numFmtId="0" fontId="7" fillId="0" borderId="0" xfId="0" applyFont="1" applyAlignment="1">
      <alignment horizontal="center" vertical="center"/>
    </xf>
    <xf numFmtId="4" fontId="4" fillId="0" borderId="0" xfId="0" applyNumberFormat="1" applyFont="1" applyAlignment="1">
      <alignment horizontal="center" vertical="center" wrapText="1"/>
    </xf>
    <xf numFmtId="0" fontId="7" fillId="0" borderId="0" xfId="0" applyFont="1" applyAlignment="1">
      <alignment horizontal="center" vertical="center" wrapText="1" readingOrder="2"/>
    </xf>
    <xf numFmtId="43" fontId="7" fillId="0" borderId="0" xfId="1" applyFont="1" applyAlignment="1">
      <alignment horizontal="center" vertical="center" readingOrder="2"/>
    </xf>
    <xf numFmtId="0" fontId="4" fillId="0" borderId="0" xfId="0" applyFont="1" applyAlignment="1">
      <alignment horizontal="right" vertical="center" wrapText="1"/>
    </xf>
    <xf numFmtId="0" fontId="4" fillId="0" borderId="3" xfId="0" applyFont="1" applyBorder="1" applyAlignment="1">
      <alignment horizontal="center" vertical="center" wrapText="1"/>
    </xf>
    <xf numFmtId="4"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14" fontId="5" fillId="0" borderId="0" xfId="0" applyNumberFormat="1" applyFont="1" applyAlignment="1">
      <alignment horizontal="center" vertical="center"/>
    </xf>
    <xf numFmtId="14" fontId="7" fillId="0" borderId="0" xfId="0" applyNumberFormat="1" applyFont="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5" fillId="0" borderId="0" xfId="0" applyFont="1" applyAlignment="1">
      <alignment horizontal="center" vertical="center" wrapText="1"/>
    </xf>
    <xf numFmtId="43" fontId="5" fillId="0" borderId="0" xfId="1" applyFont="1" applyAlignment="1">
      <alignment horizontal="center" vertical="center" wrapText="1"/>
    </xf>
    <xf numFmtId="4" fontId="5" fillId="0" borderId="0" xfId="0" applyNumberFormat="1" applyFont="1" applyAlignment="1">
      <alignment horizontal="center" vertical="center"/>
    </xf>
    <xf numFmtId="0" fontId="5" fillId="0" borderId="0" xfId="0" applyFont="1" applyAlignment="1">
      <alignment wrapText="1"/>
    </xf>
    <xf numFmtId="0" fontId="0" fillId="0" borderId="0" xfId="0" applyAlignment="1">
      <alignment horizontal="center" vertical="center"/>
    </xf>
    <xf numFmtId="43" fontId="4" fillId="0" borderId="3" xfId="1" applyFont="1" applyBorder="1" applyAlignment="1">
      <alignment horizontal="center" vertical="center"/>
    </xf>
    <xf numFmtId="0" fontId="2" fillId="0" borderId="0" xfId="0" applyFont="1" applyAlignment="1">
      <alignment horizontal="center" vertical="center" readingOrder="1"/>
    </xf>
    <xf numFmtId="0" fontId="2" fillId="0" borderId="0" xfId="0" applyFont="1" applyAlignment="1">
      <alignment horizontal="center" vertical="center" wrapText="1" readingOrder="1"/>
    </xf>
    <xf numFmtId="4" fontId="2" fillId="0" borderId="0" xfId="0" applyNumberFormat="1" applyFont="1" applyAlignment="1">
      <alignment horizontal="center" vertical="center" readingOrder="1"/>
    </xf>
    <xf numFmtId="0" fontId="4" fillId="0" borderId="0" xfId="0" applyFont="1" applyAlignment="1">
      <alignment horizontal="center" vertical="center" readingOrder="1"/>
    </xf>
    <xf numFmtId="0" fontId="4" fillId="0" borderId="0" xfId="0" applyFont="1" applyAlignment="1">
      <alignment horizontal="center" vertical="center" wrapText="1" readingOrder="1"/>
    </xf>
    <xf numFmtId="4" fontId="4" fillId="0" borderId="0" xfId="0" applyNumberFormat="1" applyFont="1" applyAlignment="1">
      <alignment horizontal="center" vertical="center" readingOrder="1"/>
    </xf>
    <xf numFmtId="4" fontId="4" fillId="0" borderId="0" xfId="0" applyNumberFormat="1" applyFont="1" applyAlignment="1">
      <alignment horizontal="center" vertical="center" wrapText="1" readingOrder="1"/>
    </xf>
    <xf numFmtId="0" fontId="5" fillId="2" borderId="0" xfId="0" applyFont="1" applyFill="1" applyAlignment="1">
      <alignment horizontal="center" vertical="center"/>
    </xf>
    <xf numFmtId="0" fontId="4" fillId="2" borderId="0" xfId="0" applyFont="1" applyFill="1" applyAlignment="1">
      <alignment horizontal="center" vertical="center"/>
    </xf>
    <xf numFmtId="0" fontId="8" fillId="0" borderId="0" xfId="0" applyFont="1" applyAlignment="1">
      <alignment horizontal="center" vertical="center" wrapText="1"/>
    </xf>
    <xf numFmtId="0" fontId="9" fillId="3" borderId="0" xfId="0" applyFont="1" applyFill="1" applyAlignment="1">
      <alignment horizontal="center" vertical="center"/>
    </xf>
    <xf numFmtId="4" fontId="4" fillId="2" borderId="0" xfId="0" applyNumberFormat="1" applyFont="1" applyFill="1" applyAlignment="1">
      <alignment horizontal="center" vertical="center"/>
    </xf>
    <xf numFmtId="14" fontId="4" fillId="2" borderId="0" xfId="0" applyNumberFormat="1" applyFont="1" applyFill="1" applyAlignment="1">
      <alignment horizontal="center" vertical="center"/>
    </xf>
    <xf numFmtId="14" fontId="2" fillId="0" borderId="0" xfId="0" applyNumberFormat="1" applyFont="1" applyAlignment="1">
      <alignment horizontal="center" vertical="center"/>
    </xf>
    <xf numFmtId="14" fontId="5" fillId="0" borderId="0" xfId="0" applyNumberFormat="1" applyFont="1"/>
    <xf numFmtId="14" fontId="5" fillId="0" borderId="0" xfId="0" applyNumberFormat="1" applyFont="1" applyAlignment="1">
      <alignment wrapText="1"/>
    </xf>
    <xf numFmtId="0" fontId="4" fillId="4" borderId="0" xfId="0" applyFont="1" applyFill="1" applyAlignment="1">
      <alignment horizontal="center" vertical="center"/>
    </xf>
    <xf numFmtId="14" fontId="4" fillId="4" borderId="0" xfId="0" applyNumberFormat="1" applyFont="1" applyFill="1" applyAlignment="1">
      <alignment horizontal="center" vertical="center"/>
    </xf>
    <xf numFmtId="0" fontId="4" fillId="4" borderId="0" xfId="0" applyFont="1" applyFill="1" applyAlignment="1">
      <alignment horizontal="center" vertical="center" wrapText="1"/>
    </xf>
    <xf numFmtId="164" fontId="4" fillId="4" borderId="0" xfId="0" applyNumberFormat="1" applyFont="1" applyFill="1" applyAlignment="1">
      <alignment horizontal="center" vertical="center"/>
    </xf>
    <xf numFmtId="0" fontId="4" fillId="2" borderId="0" xfId="0" applyFont="1" applyFill="1" applyAlignment="1">
      <alignment horizontal="center" vertical="center" wrapText="1" readingOrder="2"/>
    </xf>
    <xf numFmtId="4" fontId="4" fillId="2" borderId="0" xfId="1" applyNumberFormat="1" applyFont="1" applyFill="1" applyAlignment="1">
      <alignment horizontal="center" vertical="center" readingOrder="2"/>
    </xf>
    <xf numFmtId="0" fontId="4" fillId="2" borderId="0" xfId="0" applyFont="1" applyFill="1" applyAlignment="1">
      <alignment horizontal="center" vertical="center" wrapText="1"/>
    </xf>
    <xf numFmtId="4" fontId="4" fillId="2" borderId="0" xfId="1" applyNumberFormat="1" applyFont="1" applyFill="1" applyAlignment="1">
      <alignment horizontal="center" vertical="center"/>
    </xf>
    <xf numFmtId="0" fontId="7" fillId="2" borderId="0" xfId="0" applyFont="1" applyFill="1" applyAlignment="1">
      <alignment horizontal="center" vertical="center" wrapText="1" readingOrder="2"/>
    </xf>
    <xf numFmtId="14" fontId="10" fillId="5" borderId="0" xfId="0" applyNumberFormat="1" applyFont="1" applyFill="1" applyAlignment="1">
      <alignment horizontal="center" vertical="center"/>
    </xf>
    <xf numFmtId="0" fontId="9" fillId="2" borderId="0" xfId="0" applyFont="1" applyFill="1" applyAlignment="1">
      <alignment horizontal="center" vertical="center"/>
    </xf>
    <xf numFmtId="43" fontId="7" fillId="0" borderId="0" xfId="1" applyFont="1" applyAlignment="1">
      <alignment horizontal="center" vertical="center" wrapText="1" readingOrder="2"/>
    </xf>
    <xf numFmtId="4" fontId="7" fillId="0" borderId="0" xfId="1" applyNumberFormat="1" applyFont="1" applyAlignment="1">
      <alignment horizontal="center" vertical="center" wrapText="1" readingOrder="2"/>
    </xf>
    <xf numFmtId="4" fontId="4" fillId="2" borderId="0" xfId="0" applyNumberFormat="1" applyFont="1" applyFill="1" applyAlignment="1">
      <alignment horizontal="center" vertical="center" wrapText="1"/>
    </xf>
    <xf numFmtId="3" fontId="4" fillId="2" borderId="0" xfId="1" applyNumberFormat="1" applyFont="1" applyFill="1" applyAlignment="1">
      <alignment horizontal="center" vertical="center" wrapText="1"/>
    </xf>
    <xf numFmtId="4" fontId="4" fillId="2" borderId="0" xfId="1" applyNumberFormat="1" applyFont="1" applyFill="1" applyAlignment="1">
      <alignment horizontal="center" vertical="center" wrapText="1"/>
    </xf>
    <xf numFmtId="4" fontId="4" fillId="2" borderId="0" xfId="1" applyNumberFormat="1" applyFont="1" applyFill="1" applyAlignment="1">
      <alignment horizontal="center" vertical="center" wrapText="1" readingOrder="2"/>
    </xf>
    <xf numFmtId="0" fontId="9" fillId="5" borderId="0" xfId="0" applyFont="1" applyFill="1" applyAlignment="1">
      <alignment horizontal="center" vertical="center" wrapText="1"/>
    </xf>
    <xf numFmtId="0" fontId="4" fillId="6" borderId="0" xfId="0" applyFont="1" applyFill="1" applyAlignment="1">
      <alignment horizontal="center" vertical="center"/>
    </xf>
    <xf numFmtId="3" fontId="4" fillId="2" borderId="0" xfId="1" applyNumberFormat="1" applyFont="1" applyFill="1" applyAlignment="1">
      <alignment horizontal="center" vertical="center"/>
    </xf>
    <xf numFmtId="4" fontId="7" fillId="0" borderId="0" xfId="1" applyNumberFormat="1" applyFont="1" applyAlignment="1">
      <alignment horizontal="center" vertical="center" readingOrder="2"/>
    </xf>
    <xf numFmtId="0" fontId="4" fillId="0" borderId="8" xfId="0" applyFont="1" applyBorder="1" applyAlignment="1">
      <alignment horizontal="center" vertical="center" wrapText="1"/>
    </xf>
    <xf numFmtId="0" fontId="6" fillId="0" borderId="2" xfId="0" applyFont="1" applyBorder="1" applyAlignment="1">
      <alignment horizontal="center" vertical="center" wrapText="1"/>
    </xf>
    <xf numFmtId="4" fontId="9" fillId="2" borderId="0" xfId="0" applyNumberFormat="1" applyFont="1" applyFill="1" applyAlignment="1">
      <alignment horizontal="center" vertical="center"/>
    </xf>
    <xf numFmtId="0" fontId="4" fillId="0" borderId="0" xfId="1" applyNumberFormat="1" applyFont="1" applyAlignment="1">
      <alignment horizontal="center" vertical="center"/>
    </xf>
    <xf numFmtId="0" fontId="4" fillId="4" borderId="3" xfId="0" applyFont="1" applyFill="1" applyBorder="1" applyAlignment="1">
      <alignment horizontal="center" vertical="center"/>
    </xf>
    <xf numFmtId="4" fontId="4" fillId="4" borderId="0" xfId="0" applyNumberFormat="1" applyFont="1" applyFill="1" applyAlignment="1">
      <alignment horizontal="center" vertical="center"/>
    </xf>
    <xf numFmtId="4" fontId="5" fillId="0" borderId="0" xfId="0" applyNumberFormat="1" applyFont="1" applyAlignment="1">
      <alignment horizontal="center" vertical="center" wrapText="1"/>
    </xf>
    <xf numFmtId="0" fontId="4" fillId="4" borderId="0" xfId="1" applyNumberFormat="1" applyFont="1" applyFill="1" applyAlignment="1">
      <alignment horizontal="center" vertical="center"/>
    </xf>
    <xf numFmtId="0" fontId="4" fillId="2" borderId="0" xfId="0" applyFont="1" applyFill="1" applyAlignment="1">
      <alignment horizontal="center" vertical="center" wrapText="1" readingOrder="1"/>
    </xf>
    <xf numFmtId="4" fontId="4" fillId="2" borderId="0" xfId="0" applyNumberFormat="1" applyFont="1" applyFill="1" applyAlignment="1">
      <alignment horizontal="center" vertical="center" readingOrder="1"/>
    </xf>
    <xf numFmtId="0" fontId="4" fillId="7" borderId="0" xfId="0" applyFont="1" applyFill="1" applyAlignment="1">
      <alignment horizontal="center" vertical="center" wrapText="1"/>
    </xf>
    <xf numFmtId="4" fontId="4" fillId="7" borderId="0" xfId="0" applyNumberFormat="1" applyFont="1" applyFill="1" applyAlignment="1">
      <alignment horizontal="center" vertical="center"/>
    </xf>
    <xf numFmtId="0" fontId="4" fillId="7" borderId="0" xfId="0" applyFont="1" applyFill="1" applyAlignment="1">
      <alignment horizontal="center" vertical="center"/>
    </xf>
    <xf numFmtId="14" fontId="4" fillId="7" borderId="0" xfId="0" applyNumberFormat="1" applyFont="1" applyFill="1" applyAlignment="1">
      <alignment horizontal="center" vertical="center"/>
    </xf>
    <xf numFmtId="164" fontId="4" fillId="7" borderId="0" xfId="0" applyNumberFormat="1" applyFont="1" applyFill="1" applyAlignment="1">
      <alignment horizontal="center" vertical="center"/>
    </xf>
    <xf numFmtId="0" fontId="4" fillId="4" borderId="0" xfId="0" applyFont="1" applyFill="1" applyAlignment="1">
      <alignment horizontal="center" vertical="center" wrapText="1" readingOrder="2"/>
    </xf>
    <xf numFmtId="4" fontId="4" fillId="4" borderId="0" xfId="1" applyNumberFormat="1" applyFont="1" applyFill="1" applyAlignment="1">
      <alignment horizontal="center" vertical="center" readingOrder="2"/>
    </xf>
    <xf numFmtId="0" fontId="9" fillId="0" borderId="0" xfId="0" applyFont="1" applyAlignment="1">
      <alignment horizontal="center" vertical="center"/>
    </xf>
    <xf numFmtId="0" fontId="4" fillId="0" borderId="3" xfId="0" applyFont="1" applyBorder="1" applyAlignment="1">
      <alignment horizontal="center" vertical="center" readingOrder="1"/>
    </xf>
    <xf numFmtId="0" fontId="4" fillId="0" borderId="3" xfId="0" applyFont="1" applyBorder="1" applyAlignment="1">
      <alignment horizontal="center" vertical="center" wrapText="1" readingOrder="1"/>
    </xf>
    <xf numFmtId="4" fontId="4" fillId="0" borderId="3" xfId="0" applyNumberFormat="1" applyFont="1" applyBorder="1" applyAlignment="1">
      <alignment horizontal="center" vertical="center" readingOrder="1"/>
    </xf>
    <xf numFmtId="0" fontId="4" fillId="2" borderId="3" xfId="0" applyFont="1" applyFill="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center" vertical="center" readingOrder="1"/>
    </xf>
    <xf numFmtId="0" fontId="4" fillId="2" borderId="0" xfId="0" applyFont="1" applyFill="1" applyBorder="1" applyAlignment="1">
      <alignment horizontal="center" vertical="center"/>
    </xf>
    <xf numFmtId="0" fontId="4" fillId="0" borderId="5" xfId="0" applyFont="1" applyBorder="1" applyAlignment="1">
      <alignment horizontal="center" vertical="center" readingOrder="1"/>
    </xf>
    <xf numFmtId="0" fontId="4" fillId="4" borderId="0" xfId="0" applyFont="1" applyFill="1" applyBorder="1" applyAlignment="1">
      <alignment horizontal="center" vertical="center"/>
    </xf>
    <xf numFmtId="43" fontId="4" fillId="0" borderId="0" xfId="1" applyFont="1" applyBorder="1" applyAlignment="1">
      <alignment horizontal="center" vertical="center"/>
    </xf>
    <xf numFmtId="0" fontId="4" fillId="0" borderId="0" xfId="1" applyNumberFormat="1" applyFont="1" applyBorder="1" applyAlignment="1">
      <alignment horizontal="center" vertical="center"/>
    </xf>
    <xf numFmtId="43" fontId="4" fillId="7" borderId="3" xfId="1" applyFont="1" applyFill="1" applyBorder="1" applyAlignment="1">
      <alignment horizontal="center" vertical="center"/>
    </xf>
    <xf numFmtId="0" fontId="4" fillId="4" borderId="0" xfId="1" applyNumberFormat="1" applyFont="1" applyFill="1" applyBorder="1" applyAlignment="1">
      <alignment horizontal="center" vertical="center"/>
    </xf>
    <xf numFmtId="0" fontId="4" fillId="0" borderId="0" xfId="0" applyFont="1" applyBorder="1" applyAlignment="1">
      <alignment horizontal="center" vertical="center" wrapText="1"/>
    </xf>
    <xf numFmtId="0" fontId="4" fillId="0" borderId="0" xfId="0" applyFont="1" applyBorder="1" applyAlignment="1">
      <alignment horizontal="center" vertical="center" wrapText="1" readingOrder="1"/>
    </xf>
    <xf numFmtId="4" fontId="4" fillId="0" borderId="0" xfId="0" applyNumberFormat="1" applyFont="1" applyBorder="1" applyAlignment="1">
      <alignment horizontal="center" vertical="center"/>
    </xf>
    <xf numFmtId="4" fontId="4" fillId="0" borderId="0" xfId="0" applyNumberFormat="1" applyFont="1" applyBorder="1" applyAlignment="1">
      <alignment horizontal="center" vertical="center" readingOrder="1"/>
    </xf>
    <xf numFmtId="0" fontId="4" fillId="0" borderId="9" xfId="0" applyFont="1" applyBorder="1" applyAlignment="1">
      <alignment horizontal="center" vertical="center"/>
    </xf>
    <xf numFmtId="0" fontId="4" fillId="0" borderId="6" xfId="0" applyFont="1" applyBorder="1" applyAlignment="1">
      <alignment horizontal="center" vertical="center" wrapText="1" readingOrder="1"/>
    </xf>
    <xf numFmtId="0" fontId="4" fillId="4" borderId="2" xfId="0" applyFont="1" applyFill="1" applyBorder="1" applyAlignment="1">
      <alignment horizontal="center" vertical="center"/>
    </xf>
    <xf numFmtId="0" fontId="6" fillId="0" borderId="0" xfId="0" applyFont="1" applyBorder="1" applyAlignment="1">
      <alignment horizontal="center" vertical="center" wrapText="1"/>
    </xf>
  </cellXfs>
  <cellStyles count="2">
    <cellStyle name="Comma" xfId="1" builtinId="3"/>
    <cellStyle name="Normal" xfId="0" builtinId="0"/>
  </cellStyles>
  <dxfs count="100">
    <dxf>
      <font>
        <b val="0"/>
        <i val="0"/>
        <strike val="0"/>
        <condense val="0"/>
        <extend val="0"/>
        <outline val="0"/>
        <shadow val="0"/>
        <u val="none"/>
        <vertAlign val="baseline"/>
        <sz val="11"/>
        <color auto="1"/>
        <name val="Calibri"/>
        <family val="2"/>
        <scheme val="none"/>
      </font>
      <fill>
        <patternFill patternType="solid">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4" formatCode="#,##0.00,,\ &quot;M&quo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hair">
          <color theme="1"/>
        </left>
        <right style="hair">
          <color theme="1"/>
        </right>
        <top style="hair">
          <color theme="1"/>
        </top>
        <bottom/>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hair">
          <color theme="1"/>
        </left>
        <right style="hair">
          <color theme="1"/>
        </right>
        <top style="hair">
          <color theme="1"/>
        </top>
        <bottom/>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alignment horizontal="center" vertical="center"/>
    </dxf>
    <dxf>
      <font>
        <strike val="0"/>
        <condense val="0"/>
        <extend val="0"/>
        <outline val="0"/>
        <shadow val="0"/>
        <vertAlign val="baseline"/>
        <sz val="11"/>
        <color auto="1"/>
        <name val="Calibri"/>
        <family val="2"/>
      </font>
      <numFmt numFmtId="0" formatCode="General"/>
      <alignment horizontal="center" vertical="center"/>
    </dxf>
    <dxf>
      <font>
        <strike val="0"/>
        <condense val="0"/>
        <extend val="0"/>
        <outline val="0"/>
        <shadow val="0"/>
        <vertAlign val="baseline"/>
        <sz val="11"/>
        <color auto="1"/>
        <name val="Calibri"/>
        <family val="2"/>
      </font>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numFmt numFmtId="164" formatCode="#,##0.00,,\ &quot;M&quot;"/>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wrapText="1"/>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wrapText="1"/>
    </dxf>
    <dxf>
      <font>
        <strike val="0"/>
        <outline val="0"/>
        <shadow val="0"/>
        <vertAlign val="baseline"/>
        <color auto="1"/>
      </font>
      <fill>
        <patternFill>
          <fgColor indexed="64"/>
          <bgColor auto="1"/>
        </patternFill>
      </fill>
    </dxf>
    <dxf>
      <font>
        <strike val="0"/>
        <condense val="0"/>
        <extend val="0"/>
        <outline val="0"/>
        <shadow val="0"/>
        <vertAlign val="baseline"/>
        <sz val="11"/>
        <color auto="1"/>
        <name val="Calibri"/>
        <family val="2"/>
      </font>
      <numFmt numFmtId="19" formatCode="m/d/yyyy"/>
      <fill>
        <patternFill>
          <fgColor indexed="64"/>
          <bgColor auto="1"/>
        </patternFill>
      </fill>
      <alignment horizontal="center" vertical="center"/>
    </dxf>
    <dxf>
      <font>
        <strike val="0"/>
        <condense val="0"/>
        <extend val="0"/>
        <outline val="0"/>
        <shadow val="0"/>
        <vertAlign val="baseline"/>
        <sz val="11"/>
        <color auto="1"/>
        <name val="Calibri"/>
        <family val="2"/>
      </font>
      <numFmt numFmtId="19" formatCode="m/d/yyyy"/>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0"/>
        <color auto="1"/>
        <name val="Tahoma"/>
        <family val="2"/>
      </font>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wrapText="1"/>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numFmt numFmtId="4" formatCode="#,##0.00"/>
      <fill>
        <patternFill>
          <fgColor indexed="64"/>
          <bgColor auto="1"/>
        </patternFill>
      </fill>
      <alignment horizontal="center" vertical="center"/>
    </dxf>
    <dxf>
      <font>
        <strike val="0"/>
        <condense val="0"/>
        <extend val="0"/>
        <outline val="0"/>
        <shadow val="0"/>
        <vertAlign val="baseline"/>
        <sz val="11"/>
        <color auto="1"/>
        <name val="Calibri"/>
        <family val="2"/>
      </font>
      <numFmt numFmtId="4" formatCode="#,##0.00"/>
      <fill>
        <patternFill>
          <fgColor indexed="64"/>
          <bgColor auto="1"/>
        </patternFill>
      </fill>
      <alignment horizontal="center" vertical="center"/>
    </dxf>
    <dxf>
      <numFmt numFmtId="4" formatCode="#,##0.00"/>
      <alignment horizontal="center" vertical="center" wrapText="1"/>
    </dxf>
    <dxf>
      <font>
        <strike val="0"/>
        <condense val="0"/>
        <extend val="0"/>
        <outline val="0"/>
        <shadow val="0"/>
        <vertAlign val="baseline"/>
        <sz val="11"/>
        <color auto="1"/>
        <name val="Calibri"/>
        <family val="2"/>
      </font>
      <numFmt numFmtId="4" formatCode="#,##0.00"/>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wrapText="1"/>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border outline="0">
        <left style="hair">
          <color theme="1"/>
        </left>
        <right style="hair">
          <color theme="1"/>
        </right>
        <top style="hair">
          <color theme="1"/>
        </top>
        <bottom/>
      </bord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border outline="0">
        <left style="hair">
          <color theme="1"/>
        </left>
        <right style="hair">
          <color theme="1"/>
        </right>
        <top style="hair">
          <color theme="1"/>
        </top>
        <bottom/>
      </bord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alignment horizontal="center" vertical="center"/>
    </dxf>
    <dxf>
      <font>
        <strike val="0"/>
        <condense val="0"/>
        <extend val="0"/>
        <outline val="0"/>
        <shadow val="0"/>
        <vertAlign val="baseline"/>
        <sz val="11"/>
        <color auto="1"/>
        <name val="Calibri"/>
        <family val="2"/>
      </font>
      <numFmt numFmtId="0" formatCode="General"/>
      <alignment horizontal="center" vertical="center"/>
    </dxf>
    <dxf>
      <font>
        <strike val="0"/>
        <condense val="0"/>
        <extend val="0"/>
        <outline val="0"/>
        <shadow val="0"/>
        <vertAlign val="baseline"/>
        <sz val="11"/>
        <color auto="1"/>
        <name val="Calibri"/>
        <family val="2"/>
      </font>
      <numFmt numFmtId="0" formatCode="General"/>
      <alignment horizontal="center" vertical="center"/>
    </dxf>
    <dxf>
      <font>
        <strike val="0"/>
        <condense val="0"/>
        <extend val="0"/>
        <outline val="0"/>
        <shadow val="0"/>
        <vertAlign val="baseline"/>
        <sz val="11"/>
        <color auto="1"/>
        <name val="Calibri"/>
        <family val="2"/>
      </font>
      <numFmt numFmtId="0" formatCode="General"/>
      <alignment horizontal="center" vertical="center"/>
    </dxf>
    <dxf>
      <font>
        <strike val="0"/>
        <condense val="0"/>
        <extend val="0"/>
        <outline val="0"/>
        <shadow val="0"/>
        <vertAlign val="baseline"/>
        <sz val="11"/>
        <color auto="1"/>
        <name val="Calibri"/>
        <family val="2"/>
      </font>
      <numFmt numFmtId="0" formatCode="General"/>
      <alignment horizontal="center" vertical="center"/>
    </dxf>
    <dxf>
      <font>
        <strike val="0"/>
        <condense val="0"/>
        <extend val="0"/>
        <outline val="0"/>
        <shadow val="0"/>
        <vertAlign val="baseline"/>
        <sz val="11"/>
        <color auto="1"/>
        <name val="Calibri"/>
        <family val="2"/>
      </font>
      <numFmt numFmtId="0" formatCode="Genera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numFmt numFmtId="0" formatCode="General"/>
      <fill>
        <patternFill>
          <fgColor indexed="64"/>
          <bgColor auto="1"/>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outline val="0"/>
        <shadow val="0"/>
        <vertAlign val="baseline"/>
        <color auto="1"/>
        <family val="2"/>
      </font>
      <fill>
        <patternFill>
          <fgColor indexed="64"/>
          <bgColor auto="1"/>
        </patternFill>
      </fill>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theme="2"/>
        <name val="Calibri"/>
        <family val="2"/>
      </font>
      <fill>
        <patternFill>
          <fgColor indexed="64"/>
          <bgColor auto="1"/>
        </patternFill>
      </fill>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U231" totalsRowCount="1" headerRowDxfId="99" dataDxfId="98" totalsRowDxfId="97">
  <autoFilter ref="A1:AU230" xr:uid="{00000000-000C-0000-FFFF-FFFF00000000}"/>
  <sortState xmlns:xlrd2="http://schemas.microsoft.com/office/spreadsheetml/2017/richdata2" ref="A2:AU230">
    <sortCondition ref="X1:X230"/>
  </sortState>
  <tableColumns count="47">
    <tableColumn id="1" xr3:uid="{00000000-0010-0000-0000-000001000000}" name="م" dataDxfId="96" totalsRowDxfId="46">
      <calculatedColumnFormula>SUBTOTAL(3, $J$2:J2)</calculatedColumnFormula>
    </tableColumn>
    <tableColumn id="34" xr3:uid="{00000000-0010-0000-0000-000022000000}" name="التصنيف الرئييس" dataDxfId="95" totalsRowDxfId="45"/>
    <tableColumn id="38" xr3:uid="{00000000-0010-0000-0000-000026000000}" name="122_العجز" dataDxfId="94" totalsRowDxfId="44"/>
    <tableColumn id="35" xr3:uid="{00000000-0010-0000-0000-000023000000}" name="x" dataDxfId="93" totalsRowDxfId="43"/>
    <tableColumn id="27" xr3:uid="{00000000-0010-0000-0000-00001B000000}" name="y" dataDxfId="92" totalsRowDxfId="42"/>
    <tableColumn id="41" xr3:uid="{00000000-0010-0000-0000-000029000000}" name="أطوال الشبكات والخطوط (جدول كميات معتمد)" dataDxfId="91" totalsRowDxfId="41"/>
    <tableColumn id="40" xr3:uid="{00000000-0010-0000-0000-000028000000}" name="أطوال الشبكات والخطوط المنفذة (تراكمي)" dataDxfId="90" totalsRowDxfId="40"/>
    <tableColumn id="23" xr3:uid="{00000000-0010-0000-0000-000017000000}" name="رقم العقد التشغيلي" dataDxfId="89" totalsRowDxfId="39"/>
    <tableColumn id="22" xr3:uid="{00000000-0010-0000-0000-000016000000}" name="Project Number" dataDxfId="88" totalsRowDxfId="38"/>
    <tableColumn id="2" xr3:uid="{00000000-0010-0000-0000-000002000000}" name="PO_No" dataDxfId="87" totalsRowDxfId="37"/>
    <tableColumn id="28" xr3:uid="{00000000-0010-0000-0000-00001C000000}" name="Included" dataDxfId="86" totalsRowDxfId="36"/>
    <tableColumn id="29" xr3:uid="{00000000-0010-0000-0000-00001D000000}" name="القيمة مع الضريبة2" dataDxfId="85" totalsRowDxfId="35">
      <calculatedColumnFormula>1.15*Table1[[#This Row],[القيمة]]</calculatedColumnFormula>
    </tableColumn>
    <tableColumn id="3" xr3:uid="{00000000-0010-0000-0000-000003000000}" name="إسم المشروع" dataDxfId="84" totalsRowDxfId="34"/>
    <tableColumn id="4" xr3:uid="{00000000-0010-0000-0000-000004000000}" name="القيمة" dataDxfId="83" totalsRowDxfId="33"/>
    <tableColumn id="24" xr3:uid="{00000000-0010-0000-0000-000018000000}" name="الوصف" dataDxfId="82" totalsRowDxfId="32"/>
    <tableColumn id="39" xr3:uid="{00000000-0010-0000-0000-000027000000}" name="مصدر التمويل" dataDxfId="81" totalsRowDxfId="31"/>
    <tableColumn id="37" xr3:uid="{00000000-0010-0000-0000-000025000000}" name="المدينة / المحافظة" dataDxfId="80" totalsRowDxfId="30"/>
    <tableColumn id="5" xr3:uid="{00000000-0010-0000-0000-000005000000}" name="المنطقة" dataDxfId="79" totalsRowDxfId="29"/>
    <tableColumn id="6" xr3:uid="{00000000-0010-0000-0000-000006000000}" name="اسم المقاول" dataDxfId="78" totalsRowDxfId="28"/>
    <tableColumn id="7" xr3:uid="{00000000-0010-0000-0000-000007000000}" name="مشترك" dataDxfId="77" totalsRowDxfId="27"/>
    <tableColumn id="8" xr3:uid="{00000000-0010-0000-0000-000008000000}" name="م مقيم" dataDxfId="76" totalsRowDxfId="26"/>
    <tableColumn id="9" xr3:uid="{00000000-0010-0000-0000-000009000000}" name="المهندس المقيم" dataDxfId="75" totalsRowDxfId="25"/>
    <tableColumn id="10" xr3:uid="{00000000-0010-0000-0000-00000A000000}" name="وضع المشروع" dataDxfId="74" totalsRowDxfId="24"/>
    <tableColumn id="25" xr3:uid="{00000000-0010-0000-0000-000019000000}" name="حالة المشروع" dataDxfId="73" totalsRowDxfId="23"/>
    <tableColumn id="11" xr3:uid="{00000000-0010-0000-0000-00000B000000}" name="تاريخ البدء" dataDxfId="72" totalsRowDxfId="22"/>
    <tableColumn id="12" xr3:uid="{00000000-0010-0000-0000-00000C000000}" name="تاريخ الانتهاء" dataDxfId="71" totalsRowDxfId="21"/>
    <tableColumn id="46" xr3:uid="{00000000-0010-0000-0000-00002E000000}" name="ملاحظات" dataDxfId="70" totalsRowDxfId="20"/>
    <tableColumn id="14" xr3:uid="{00000000-0010-0000-0000-00000E000000}" name="Contractor" dataDxfId="69" totalsRowDxfId="19"/>
    <tableColumn id="50" xr3:uid="{00000000-0010-0000-0000-000032000000}" name="تصنيف المشروع طبقاً للشركة" dataDxfId="68" totalsRowDxfId="18"/>
    <tableColumn id="16" xr3:uid="{00000000-0010-0000-0000-000010000000}" name="Value" dataDxfId="67" totalsRowDxfId="17">
      <calculatedColumnFormula>Table1[[#This Row],[القيمة]]</calculatedColumnFormula>
    </tableColumn>
    <tableColumn id="17" xr3:uid="{00000000-0010-0000-0000-000011000000}" name="اسم المقيم- عسير" dataDxfId="66" totalsRowDxfId="16"/>
    <tableColumn id="18" xr3:uid="{00000000-0010-0000-0000-000012000000}" name="اسم المقيم- جازان" dataDxfId="65" totalsRowDxfId="15"/>
    <tableColumn id="19" xr3:uid="{00000000-0010-0000-0000-000013000000}" name="اسم المقيم-الباحة" dataDxfId="64" totalsRowDxfId="14"/>
    <tableColumn id="20" xr3:uid="{00000000-0010-0000-0000-000014000000}" name="اسم المقيم- نجران" dataDxfId="63" totalsRowDxfId="13"/>
    <tableColumn id="33" xr3:uid="{00000000-0010-0000-0000-000021000000}" name="خارج النطاق الجغرافي" dataDxfId="62" totalsRowDxfId="12"/>
    <tableColumn id="30" xr3:uid="{00000000-0010-0000-0000-00001E000000}" name="نسبة الإنجاز المخططة" dataDxfId="61" totalsRowDxfId="11"/>
    <tableColumn id="31" xr3:uid="{00000000-0010-0000-0000-00001F000000}" name="نسبة الإنجاز الفعلية" dataDxfId="60" totalsRowDxfId="10"/>
    <tableColumn id="44" xr3:uid="{00000000-0010-0000-0000-00002C000000}" name="الفارق" dataDxfId="59" totalsRowDxfId="9"/>
    <tableColumn id="15" xr3:uid="{00000000-0010-0000-0000-00000F000000}" name="update6-3" dataDxfId="58" totalsRowDxfId="8"/>
    <tableColumn id="47" xr3:uid="{00000000-0010-0000-0000-00002F000000}" name="Update__x000a_2026-5-24" dataDxfId="57" totalsRowDxfId="7"/>
    <tableColumn id="13" xr3:uid="{00000000-0010-0000-0000-00000D000000}" name="عدد (محطة معالجة)" dataDxfId="56" totalsRowDxfId="6"/>
    <tableColumn id="21" xr3:uid="{00000000-0010-0000-0000-000015000000}" name="عدد (محطة رفع/ ضخ)" dataDxfId="55" totalsRowDxfId="5"/>
    <tableColumn id="26" xr3:uid="{00000000-0010-0000-0000-00001A000000}" name="ملاحظات " dataDxfId="54" totalsRowDxfId="4"/>
    <tableColumn id="36" xr3:uid="{00000000-0010-0000-0000-000024000000}" name="عدد الغرف" dataDxfId="53" totalsRowDxfId="3"/>
    <tableColumn id="32" xr3:uid="{00000000-0010-0000-0000-000020000000}" name="الفرق" dataDxfId="52" totalsRowDxfId="2"/>
    <tableColumn id="42" xr3:uid="{00000000-0010-0000-0000-00002A000000}" name="EPC" dataDxfId="51" totalsRowDxfId="1"/>
    <tableColumn id="43" xr3:uid="{00000000-0010-0000-0000-00002B000000}" name="الحفر الدقيق" dataDxfId="50"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AU233"/>
  <sheetViews>
    <sheetView rightToLeft="1" tabSelected="1" topLeftCell="S1" zoomScale="80" zoomScaleNormal="80" workbookViewId="0">
      <selection activeCell="X2" sqref="X2:X74"/>
    </sheetView>
  </sheetViews>
  <sheetFormatPr defaultColWidth="8.69921875" defaultRowHeight="49.95" customHeight="1" x14ac:dyDescent="0.25"/>
  <cols>
    <col min="1" max="1" width="6.69921875" style="13" bestFit="1" customWidth="1"/>
    <col min="2" max="2" width="17.09765625" style="13" bestFit="1" customWidth="1"/>
    <col min="3" max="3" width="13.19921875" style="13" bestFit="1" customWidth="1"/>
    <col min="4" max="5" width="10.69921875" style="13" bestFit="1" customWidth="1"/>
    <col min="6" max="6" width="17.59765625" style="13" bestFit="1" customWidth="1"/>
    <col min="7" max="7" width="18" style="13" bestFit="1" customWidth="1"/>
    <col min="8" max="8" width="18.3984375" style="13" bestFit="1" customWidth="1"/>
    <col min="9" max="9" width="18.19921875" style="13" bestFit="1" customWidth="1"/>
    <col min="10" max="10" width="15.19921875" style="32" bestFit="1" customWidth="1"/>
    <col min="11" max="11" width="12.59765625" style="33" bestFit="1" customWidth="1"/>
    <col min="12" max="12" width="19.59765625" style="34" bestFit="1" customWidth="1"/>
    <col min="13" max="13" width="50.3984375" style="34" customWidth="1"/>
    <col min="14" max="14" width="13.69921875" style="34" customWidth="1"/>
    <col min="15" max="15" width="30.69921875" style="34" customWidth="1"/>
    <col min="16" max="16" width="28.59765625" style="34" hidden="1" customWidth="1"/>
    <col min="17" max="17" width="18.5" style="13" hidden="1" customWidth="1"/>
    <col min="18" max="18" width="10.09765625" style="32" customWidth="1"/>
    <col min="19" max="19" width="42.09765625" style="15" bestFit="1" customWidth="1"/>
    <col min="20" max="20" width="10.3984375" style="15" hidden="1" customWidth="1"/>
    <col min="21" max="21" width="30.69921875" style="13" customWidth="1"/>
    <col min="22" max="22" width="14.59765625" style="15" customWidth="1"/>
    <col min="23" max="23" width="15" style="15" bestFit="1" customWidth="1"/>
    <col min="24" max="24" width="10.296875" style="15" customWidth="1"/>
    <col min="25" max="25" width="13" style="52" bestFit="1" customWidth="1"/>
    <col min="26" max="26" width="14.19921875" style="53" bestFit="1" customWidth="1"/>
    <col min="27" max="27" width="24.3984375" style="13" bestFit="1" customWidth="1"/>
    <col min="28" max="28" width="24.09765625" style="13" bestFit="1" customWidth="1"/>
    <col min="29" max="29" width="24.8984375" style="13" bestFit="1" customWidth="1"/>
    <col min="30" max="30" width="10.3984375" style="13" bestFit="1" customWidth="1"/>
    <col min="31" max="31" width="22.5" style="13" bestFit="1" customWidth="1"/>
    <col min="32" max="32" width="19.09765625" style="13" bestFit="1" customWidth="1"/>
    <col min="33" max="33" width="22.19921875" style="13" bestFit="1" customWidth="1"/>
    <col min="34" max="34" width="18" style="13" bestFit="1" customWidth="1"/>
    <col min="35" max="35" width="19.59765625" style="13" bestFit="1" customWidth="1"/>
    <col min="36" max="36" width="20.69921875" style="13" bestFit="1" customWidth="1"/>
    <col min="37" max="37" width="19" style="13" bestFit="1" customWidth="1"/>
    <col min="38" max="38" width="19" style="13" customWidth="1"/>
    <col min="39" max="39" width="13.69921875" style="32" bestFit="1" customWidth="1"/>
    <col min="40" max="40" width="13.19921875" style="32" bestFit="1" customWidth="1"/>
    <col min="41" max="41" width="19.5" style="13" bestFit="1" customWidth="1"/>
    <col min="42" max="42" width="20.8984375" style="13" bestFit="1" customWidth="1"/>
    <col min="43" max="43" width="12.3984375" style="13" bestFit="1" customWidth="1"/>
    <col min="46" max="46" width="14.09765625" style="13" bestFit="1" customWidth="1"/>
    <col min="47" max="47" width="9.5" style="13" bestFit="1" customWidth="1"/>
    <col min="48" max="48" width="8.69921875" style="13" bestFit="1" customWidth="1"/>
    <col min="49" max="49" width="14.5" style="13" bestFit="1" customWidth="1"/>
    <col min="50" max="50" width="14.59765625" style="13" bestFit="1" customWidth="1"/>
    <col min="51" max="51" width="21.09765625" style="13" bestFit="1" customWidth="1"/>
    <col min="52" max="52" width="21.59765625" style="13" bestFit="1" customWidth="1"/>
    <col min="53" max="53" width="11.09765625" style="13" bestFit="1" customWidth="1"/>
    <col min="54" max="62" width="8.69921875" style="13" customWidth="1"/>
    <col min="63" max="16384" width="8.69921875" style="13"/>
  </cols>
  <sheetData>
    <row r="1" spans="1:47" s="7" customFormat="1" ht="49.95" customHeight="1" x14ac:dyDescent="0.25">
      <c r="A1" s="1" t="s">
        <v>0</v>
      </c>
      <c r="B1" s="64" t="s">
        <v>1</v>
      </c>
      <c r="C1" s="1" t="s">
        <v>2</v>
      </c>
      <c r="D1" s="64" t="s">
        <v>3</v>
      </c>
      <c r="E1" s="64" t="s">
        <v>4</v>
      </c>
      <c r="F1" s="71" t="s">
        <v>5</v>
      </c>
      <c r="G1" s="71" t="s">
        <v>6</v>
      </c>
      <c r="H1" s="1" t="s">
        <v>7</v>
      </c>
      <c r="I1" s="1" t="s">
        <v>8</v>
      </c>
      <c r="J1" s="38" t="s">
        <v>9</v>
      </c>
      <c r="K1" s="1" t="s">
        <v>10</v>
      </c>
      <c r="L1" s="2" t="s">
        <v>11</v>
      </c>
      <c r="M1" s="39" t="s">
        <v>12</v>
      </c>
      <c r="N1" s="40" t="s">
        <v>13</v>
      </c>
      <c r="O1" s="40" t="s">
        <v>14</v>
      </c>
      <c r="P1" s="4" t="s">
        <v>15</v>
      </c>
      <c r="Q1" s="4" t="s">
        <v>16</v>
      </c>
      <c r="R1" s="1" t="s">
        <v>17</v>
      </c>
      <c r="S1" s="39" t="s">
        <v>18</v>
      </c>
      <c r="T1" s="1" t="s">
        <v>19</v>
      </c>
      <c r="U1" s="48" t="s">
        <v>20</v>
      </c>
      <c r="V1" s="38" t="s">
        <v>21</v>
      </c>
      <c r="W1" s="1" t="s">
        <v>22</v>
      </c>
      <c r="X1" s="1" t="s">
        <v>23</v>
      </c>
      <c r="Y1" s="51" t="s">
        <v>24</v>
      </c>
      <c r="Z1" s="51" t="s">
        <v>25</v>
      </c>
      <c r="AA1" s="3" t="s">
        <v>26</v>
      </c>
      <c r="AB1" s="3" t="s">
        <v>27</v>
      </c>
      <c r="AC1" s="3" t="s">
        <v>28</v>
      </c>
      <c r="AD1" s="5" t="s">
        <v>29</v>
      </c>
      <c r="AE1" s="38" t="s">
        <v>30</v>
      </c>
      <c r="AF1" s="1" t="s">
        <v>31</v>
      </c>
      <c r="AG1" s="1" t="s">
        <v>32</v>
      </c>
      <c r="AH1" s="1" t="s">
        <v>33</v>
      </c>
      <c r="AI1" s="1" t="s">
        <v>34</v>
      </c>
      <c r="AJ1" s="3" t="s">
        <v>35</v>
      </c>
      <c r="AK1" s="3" t="s">
        <v>36</v>
      </c>
      <c r="AL1" s="3" t="s">
        <v>37</v>
      </c>
      <c r="AM1" s="48" t="s">
        <v>38</v>
      </c>
      <c r="AN1" s="3" t="s">
        <v>39</v>
      </c>
      <c r="AO1" s="6" t="s">
        <v>40</v>
      </c>
      <c r="AP1" s="6" t="s">
        <v>41</v>
      </c>
      <c r="AQ1" s="6" t="s">
        <v>42</v>
      </c>
      <c r="AR1" s="3" t="s">
        <v>43</v>
      </c>
      <c r="AS1" s="3" t="s">
        <v>44</v>
      </c>
      <c r="AT1" s="3" t="s">
        <v>45</v>
      </c>
      <c r="AU1" s="3" t="s">
        <v>46</v>
      </c>
    </row>
    <row r="2" spans="1:47" ht="49.95" customHeight="1" x14ac:dyDescent="0.25">
      <c r="A2" s="8">
        <f>SUBTOTAL(3, $J$2:J2)</f>
        <v>1</v>
      </c>
      <c r="B2" s="8"/>
      <c r="C2" s="8"/>
      <c r="D2" s="8"/>
      <c r="E2" s="8"/>
      <c r="F2" s="8"/>
      <c r="G2" s="8"/>
      <c r="H2" s="8"/>
      <c r="I2" s="8"/>
      <c r="J2" s="8">
        <v>121210061</v>
      </c>
      <c r="K2" s="8" t="s">
        <v>47</v>
      </c>
      <c r="L2" s="9"/>
      <c r="M2" s="21" t="s">
        <v>48</v>
      </c>
      <c r="N2" s="74">
        <v>49400925</v>
      </c>
      <c r="O2" s="66"/>
      <c r="P2" s="22"/>
      <c r="Q2" s="22"/>
      <c r="R2" s="8" t="s">
        <v>49</v>
      </c>
      <c r="S2" s="21" t="s">
        <v>50</v>
      </c>
      <c r="T2" s="19"/>
      <c r="U2" s="8" t="s">
        <v>51</v>
      </c>
      <c r="V2" s="19"/>
      <c r="W2" s="19" t="s">
        <v>52</v>
      </c>
      <c r="X2" s="19" t="s">
        <v>52</v>
      </c>
      <c r="Y2" s="14" t="s">
        <v>53</v>
      </c>
      <c r="Z2" s="14" t="s">
        <v>54</v>
      </c>
      <c r="AA2" s="14"/>
      <c r="AB2" s="21" t="s">
        <v>50</v>
      </c>
      <c r="AC2" s="10"/>
      <c r="AD2" s="12">
        <f>Table1[[#This Row],[القيمة]]</f>
        <v>49400925</v>
      </c>
      <c r="AE2" s="8"/>
      <c r="AF2" s="8" t="s">
        <v>51</v>
      </c>
      <c r="AG2" s="19"/>
      <c r="AH2" s="8"/>
      <c r="AI2" s="8"/>
      <c r="AJ2" s="8"/>
      <c r="AK2" s="8"/>
      <c r="AL2" s="8"/>
      <c r="AM2" s="8" t="s">
        <v>52</v>
      </c>
      <c r="AN2" s="8"/>
      <c r="AO2" s="8"/>
      <c r="AP2" s="8"/>
      <c r="AQ2" s="8"/>
      <c r="AR2" s="8"/>
      <c r="AS2" s="8"/>
      <c r="AT2" s="54"/>
      <c r="AU2" s="54"/>
    </row>
    <row r="3" spans="1:47" ht="49.95" customHeight="1" x14ac:dyDescent="0.25">
      <c r="A3" s="13">
        <f>SUBTOTAL(3, $J$2:J8)</f>
        <v>7</v>
      </c>
      <c r="B3" s="8"/>
      <c r="C3" s="8" t="s">
        <v>55</v>
      </c>
      <c r="D3" s="8"/>
      <c r="E3" s="8"/>
      <c r="F3" s="8"/>
      <c r="G3" s="8"/>
      <c r="H3" s="8"/>
      <c r="I3" s="8"/>
      <c r="J3" s="8" t="s">
        <v>56</v>
      </c>
      <c r="K3" s="8" t="s">
        <v>57</v>
      </c>
      <c r="L3" s="9">
        <f>1.15*Table1[[#This Row],[القيمة]]</f>
        <v>68827500</v>
      </c>
      <c r="M3" s="20" t="s">
        <v>58</v>
      </c>
      <c r="N3" s="11">
        <v>59850000</v>
      </c>
      <c r="O3" s="20"/>
      <c r="P3" s="11"/>
      <c r="Q3" s="11"/>
      <c r="R3" s="8" t="s">
        <v>49</v>
      </c>
      <c r="S3" s="10" t="s">
        <v>59</v>
      </c>
      <c r="T3" s="8" t="s">
        <v>60</v>
      </c>
      <c r="U3" s="8" t="s">
        <v>51</v>
      </c>
      <c r="V3" s="8" t="s">
        <v>51</v>
      </c>
      <c r="W3" s="8" t="s">
        <v>52</v>
      </c>
      <c r="X3" s="19" t="s">
        <v>52</v>
      </c>
      <c r="Y3" s="14">
        <v>43982</v>
      </c>
      <c r="Z3" s="14">
        <v>44282</v>
      </c>
      <c r="AA3" s="14"/>
      <c r="AB3" s="10" t="s">
        <v>59</v>
      </c>
      <c r="AC3" s="10"/>
      <c r="AD3" s="12">
        <f>Table1[[#This Row],[القيمة]]</f>
        <v>59850000</v>
      </c>
      <c r="AE3" s="8"/>
      <c r="AF3" s="8" t="s">
        <v>51</v>
      </c>
      <c r="AG3" s="8"/>
      <c r="AH3" s="8"/>
      <c r="AI3" s="8"/>
      <c r="AJ3" s="8"/>
      <c r="AK3" s="8"/>
      <c r="AL3" s="8"/>
      <c r="AM3" s="8"/>
      <c r="AN3" s="8"/>
      <c r="AO3" s="8"/>
      <c r="AP3" s="8"/>
      <c r="AQ3" s="8"/>
      <c r="AR3" s="8"/>
      <c r="AS3" s="8"/>
      <c r="AT3" s="54"/>
      <c r="AU3" s="54"/>
    </row>
    <row r="4" spans="1:47" ht="49.95" customHeight="1" x14ac:dyDescent="0.25">
      <c r="A4" s="8">
        <f>SUBTOTAL(3, $J$2:J4)</f>
        <v>3</v>
      </c>
      <c r="B4" s="8"/>
      <c r="C4" s="8" t="s">
        <v>55</v>
      </c>
      <c r="D4" s="8"/>
      <c r="E4" s="8"/>
      <c r="F4" s="8"/>
      <c r="G4" s="8"/>
      <c r="H4" s="8"/>
      <c r="I4" s="8"/>
      <c r="J4" s="8" t="s">
        <v>61</v>
      </c>
      <c r="K4" s="8" t="s">
        <v>57</v>
      </c>
      <c r="L4" s="9">
        <f>1.15*Table1[[#This Row],[القيمة]]</f>
        <v>52754564.502499998</v>
      </c>
      <c r="M4" s="10" t="s">
        <v>62</v>
      </c>
      <c r="N4" s="11">
        <v>45873534.350000001</v>
      </c>
      <c r="O4" s="20"/>
      <c r="P4" s="11"/>
      <c r="Q4" s="11"/>
      <c r="R4" s="8" t="s">
        <v>63</v>
      </c>
      <c r="S4" s="10" t="s">
        <v>64</v>
      </c>
      <c r="T4" s="8" t="s">
        <v>60</v>
      </c>
      <c r="U4" s="8" t="s">
        <v>65</v>
      </c>
      <c r="V4" s="8" t="s">
        <v>65</v>
      </c>
      <c r="W4" s="8" t="s">
        <v>52</v>
      </c>
      <c r="X4" s="19" t="s">
        <v>52</v>
      </c>
      <c r="Y4" s="14">
        <v>41486</v>
      </c>
      <c r="Z4" s="14">
        <v>43296</v>
      </c>
      <c r="AA4" s="14"/>
      <c r="AB4" s="10" t="s">
        <v>64</v>
      </c>
      <c r="AC4" s="10"/>
      <c r="AD4" s="12">
        <f>Table1[[#This Row],[القيمة]]</f>
        <v>45873534.350000001</v>
      </c>
      <c r="AE4" s="8"/>
      <c r="AF4" s="8"/>
      <c r="AG4" s="8"/>
      <c r="AH4" s="8" t="s">
        <v>65</v>
      </c>
      <c r="AI4" s="8"/>
      <c r="AJ4" s="8"/>
      <c r="AK4" s="8"/>
      <c r="AL4" s="8"/>
      <c r="AM4" s="8"/>
      <c r="AN4" s="8"/>
      <c r="AO4" s="8"/>
      <c r="AP4" s="8"/>
      <c r="AQ4" s="8"/>
      <c r="AR4" s="8"/>
      <c r="AS4" s="8"/>
      <c r="AT4" s="54"/>
      <c r="AU4" s="54"/>
    </row>
    <row r="5" spans="1:47" ht="49.95" customHeight="1" x14ac:dyDescent="0.25">
      <c r="A5" s="8">
        <f>SUBTOTAL(3, $J$2:J5)</f>
        <v>4</v>
      </c>
      <c r="B5" s="8"/>
      <c r="C5" s="8" t="s">
        <v>55</v>
      </c>
      <c r="D5" s="8"/>
      <c r="E5" s="8"/>
      <c r="F5" s="8"/>
      <c r="G5" s="8"/>
      <c r="H5" s="8"/>
      <c r="I5" s="8"/>
      <c r="J5" s="8" t="s">
        <v>66</v>
      </c>
      <c r="K5" s="8" t="s">
        <v>57</v>
      </c>
      <c r="L5" s="9">
        <f>1.15*Table1[[#This Row],[القيمة]]</f>
        <v>5534730.3729999987</v>
      </c>
      <c r="M5" s="21" t="s">
        <v>67</v>
      </c>
      <c r="N5" s="22">
        <v>4812809.0199999996</v>
      </c>
      <c r="O5" s="65"/>
      <c r="P5" s="22"/>
      <c r="Q5" s="22"/>
      <c r="R5" s="8" t="s">
        <v>68</v>
      </c>
      <c r="S5" s="21" t="s">
        <v>69</v>
      </c>
      <c r="T5" s="19" t="s">
        <v>60</v>
      </c>
      <c r="U5" s="19" t="s">
        <v>70</v>
      </c>
      <c r="V5" s="19" t="s">
        <v>70</v>
      </c>
      <c r="W5" s="8" t="s">
        <v>52</v>
      </c>
      <c r="X5" s="19" t="s">
        <v>52</v>
      </c>
      <c r="Y5" s="28">
        <v>41461</v>
      </c>
      <c r="Z5" s="29">
        <v>42470</v>
      </c>
      <c r="AA5" s="29"/>
      <c r="AB5" s="10" t="s">
        <v>64</v>
      </c>
      <c r="AC5" s="10"/>
      <c r="AD5" s="12">
        <f>Table1[[#This Row],[القيمة]]</f>
        <v>4812809.0199999996</v>
      </c>
      <c r="AE5" s="8"/>
      <c r="AF5" s="8"/>
      <c r="AG5" s="19" t="s">
        <v>70</v>
      </c>
      <c r="AH5" s="8"/>
      <c r="AI5" s="8"/>
      <c r="AJ5" s="8"/>
      <c r="AK5" s="8"/>
      <c r="AL5" s="8"/>
      <c r="AM5" s="8"/>
      <c r="AN5" s="8"/>
      <c r="AO5" s="8"/>
      <c r="AP5" s="8"/>
      <c r="AQ5" s="8"/>
      <c r="AR5" s="8"/>
      <c r="AS5" s="8"/>
      <c r="AT5" s="54"/>
      <c r="AU5" s="54"/>
    </row>
    <row r="6" spans="1:47" ht="49.95" customHeight="1" x14ac:dyDescent="0.25">
      <c r="A6" s="8">
        <f>SUBTOTAL(3, $J$2:J6)</f>
        <v>5</v>
      </c>
      <c r="B6" s="8" t="s">
        <v>19</v>
      </c>
      <c r="C6" s="8" t="s">
        <v>55</v>
      </c>
      <c r="D6" s="8">
        <v>41.519913699999996</v>
      </c>
      <c r="E6" s="8">
        <v>20.012957</v>
      </c>
      <c r="F6" s="8">
        <v>3597</v>
      </c>
      <c r="G6" s="8">
        <v>4532</v>
      </c>
      <c r="H6" s="8" t="s">
        <v>143</v>
      </c>
      <c r="I6" s="8" t="s">
        <v>144</v>
      </c>
      <c r="J6" s="8">
        <v>141250099</v>
      </c>
      <c r="K6" s="8" t="s">
        <v>47</v>
      </c>
      <c r="L6" s="9">
        <f>1.15*Table1[[#This Row],[القيمة]]</f>
        <v>9256580</v>
      </c>
      <c r="M6" s="10" t="s">
        <v>145</v>
      </c>
      <c r="N6" s="11">
        <v>8049200</v>
      </c>
      <c r="O6" s="20" t="s">
        <v>146</v>
      </c>
      <c r="P6" s="11" t="s">
        <v>96</v>
      </c>
      <c r="Q6" s="11" t="s">
        <v>131</v>
      </c>
      <c r="R6" s="8" t="s">
        <v>68</v>
      </c>
      <c r="S6" s="8" t="s">
        <v>147</v>
      </c>
      <c r="T6" s="8" t="s">
        <v>133</v>
      </c>
      <c r="U6" s="8" t="s">
        <v>79</v>
      </c>
      <c r="V6" s="8" t="s">
        <v>79</v>
      </c>
      <c r="W6" s="8" t="s">
        <v>52</v>
      </c>
      <c r="X6" s="19" t="s">
        <v>52</v>
      </c>
      <c r="Y6" s="14">
        <v>45790</v>
      </c>
      <c r="Z6" s="14">
        <v>46038</v>
      </c>
      <c r="AA6" s="8"/>
      <c r="AB6" s="10" t="s">
        <v>147</v>
      </c>
      <c r="AC6" s="10" t="s">
        <v>148</v>
      </c>
      <c r="AD6" s="12">
        <f>Table1[[#This Row],[القيمة]]</f>
        <v>8049200</v>
      </c>
      <c r="AE6" s="8"/>
      <c r="AF6" s="8"/>
      <c r="AG6" s="8" t="s">
        <v>79</v>
      </c>
      <c r="AH6" s="8"/>
      <c r="AI6" s="8" t="s">
        <v>114</v>
      </c>
      <c r="AJ6" s="8">
        <v>100</v>
      </c>
      <c r="AK6" s="8">
        <v>50.51</v>
      </c>
      <c r="AL6" s="8">
        <v>49.49</v>
      </c>
      <c r="AM6" s="8" t="s">
        <v>149</v>
      </c>
      <c r="AN6" s="8" t="s">
        <v>149</v>
      </c>
      <c r="AO6" s="8">
        <v>0</v>
      </c>
      <c r="AP6" s="8">
        <v>0</v>
      </c>
      <c r="AQ6" s="8"/>
      <c r="AR6" s="8">
        <v>0</v>
      </c>
      <c r="AS6" s="8">
        <v>49.49</v>
      </c>
      <c r="AT6" s="54"/>
      <c r="AU6" s="54"/>
    </row>
    <row r="7" spans="1:47" ht="49.95" customHeight="1" x14ac:dyDescent="0.25">
      <c r="A7" s="8">
        <f>SUBTOTAL(3, $J$2:J7)</f>
        <v>6</v>
      </c>
      <c r="B7" s="8" t="s">
        <v>126</v>
      </c>
      <c r="C7" s="8" t="s">
        <v>55</v>
      </c>
      <c r="D7" s="8">
        <v>41.088737000000002</v>
      </c>
      <c r="E7" s="8">
        <v>20.184711</v>
      </c>
      <c r="F7" s="8">
        <v>14100</v>
      </c>
      <c r="G7" s="8">
        <v>13895</v>
      </c>
      <c r="H7" s="8" t="s">
        <v>150</v>
      </c>
      <c r="I7" s="8" t="s">
        <v>151</v>
      </c>
      <c r="J7" s="8">
        <v>141250031</v>
      </c>
      <c r="K7" s="8" t="s">
        <v>47</v>
      </c>
      <c r="L7" s="9">
        <f>1.15*Table1[[#This Row],[القيمة]]</f>
        <v>3855949.9999999995</v>
      </c>
      <c r="M7" s="10" t="s">
        <v>152</v>
      </c>
      <c r="N7" s="11">
        <v>3353000</v>
      </c>
      <c r="O7" s="20" t="s">
        <v>153</v>
      </c>
      <c r="P7" s="11" t="s">
        <v>96</v>
      </c>
      <c r="Q7" s="11" t="s">
        <v>154</v>
      </c>
      <c r="R7" s="8" t="s">
        <v>68</v>
      </c>
      <c r="S7" s="8" t="s">
        <v>155</v>
      </c>
      <c r="T7" s="8" t="s">
        <v>60</v>
      </c>
      <c r="U7" s="8" t="s">
        <v>86</v>
      </c>
      <c r="V7" s="8" t="s">
        <v>86</v>
      </c>
      <c r="W7" s="8" t="s">
        <v>52</v>
      </c>
      <c r="X7" s="19" t="s">
        <v>52</v>
      </c>
      <c r="Y7" s="14">
        <v>45743</v>
      </c>
      <c r="Z7" s="14">
        <v>46084</v>
      </c>
      <c r="AA7" s="8"/>
      <c r="AB7" s="10" t="s">
        <v>155</v>
      </c>
      <c r="AC7" s="10" t="s">
        <v>91</v>
      </c>
      <c r="AD7" s="12">
        <f>Table1[[#This Row],[القيمة]]</f>
        <v>3353000</v>
      </c>
      <c r="AE7" s="8"/>
      <c r="AF7" s="8"/>
      <c r="AG7" s="8" t="s">
        <v>86</v>
      </c>
      <c r="AH7" s="8"/>
      <c r="AI7" s="8" t="s">
        <v>133</v>
      </c>
      <c r="AJ7" s="8">
        <v>100</v>
      </c>
      <c r="AK7" s="8">
        <v>96.34</v>
      </c>
      <c r="AL7" s="8">
        <v>3.66</v>
      </c>
      <c r="AM7" s="8" t="s">
        <v>52</v>
      </c>
      <c r="AN7" s="8" t="s">
        <v>52</v>
      </c>
      <c r="AO7" s="8">
        <v>0</v>
      </c>
      <c r="AP7" s="8">
        <v>0</v>
      </c>
      <c r="AQ7" s="8"/>
      <c r="AR7" s="8">
        <v>0</v>
      </c>
      <c r="AS7" s="8">
        <v>3.66</v>
      </c>
      <c r="AT7" s="54"/>
      <c r="AU7" s="54"/>
    </row>
    <row r="8" spans="1:47" ht="49.95" customHeight="1" x14ac:dyDescent="0.25">
      <c r="A8" s="8">
        <f>SUBTOTAL(3, $J$2:J8)</f>
        <v>7</v>
      </c>
      <c r="B8" s="8" t="s">
        <v>91</v>
      </c>
      <c r="C8" s="8" t="s">
        <v>55</v>
      </c>
      <c r="D8" s="8">
        <v>41.335422999999999</v>
      </c>
      <c r="E8" s="8">
        <v>20.010399</v>
      </c>
      <c r="F8" s="8">
        <v>16000</v>
      </c>
      <c r="G8" s="8">
        <v>10980</v>
      </c>
      <c r="H8" s="8" t="s">
        <v>170</v>
      </c>
      <c r="I8" s="8" t="s">
        <v>171</v>
      </c>
      <c r="J8" s="8">
        <v>141240196</v>
      </c>
      <c r="K8" s="8" t="s">
        <v>47</v>
      </c>
      <c r="L8" s="9">
        <f>1.15*Table1[[#This Row],[القيمة]]</f>
        <v>4004811.7499999995</v>
      </c>
      <c r="M8" s="10" t="s">
        <v>172</v>
      </c>
      <c r="N8" s="11">
        <v>3482445</v>
      </c>
      <c r="O8" s="20" t="s">
        <v>173</v>
      </c>
      <c r="P8" s="11" t="s">
        <v>96</v>
      </c>
      <c r="Q8" s="11" t="s">
        <v>174</v>
      </c>
      <c r="R8" s="8" t="s">
        <v>68</v>
      </c>
      <c r="S8" s="8" t="s">
        <v>160</v>
      </c>
      <c r="T8" s="8" t="s">
        <v>60</v>
      </c>
      <c r="U8" s="8" t="s">
        <v>86</v>
      </c>
      <c r="V8" s="8" t="s">
        <v>86</v>
      </c>
      <c r="W8" s="8" t="s">
        <v>175</v>
      </c>
      <c r="X8" s="19" t="s">
        <v>52</v>
      </c>
      <c r="Y8" s="14">
        <v>45665</v>
      </c>
      <c r="Z8" s="14">
        <v>46223</v>
      </c>
      <c r="AA8" s="8"/>
      <c r="AB8" s="10" t="s">
        <v>160</v>
      </c>
      <c r="AC8" s="10" t="s">
        <v>91</v>
      </c>
      <c r="AD8" s="12">
        <f>Table1[[#This Row],[القيمة]]</f>
        <v>3482445</v>
      </c>
      <c r="AE8" s="8"/>
      <c r="AF8" s="8"/>
      <c r="AG8" s="8" t="s">
        <v>86</v>
      </c>
      <c r="AH8" s="8"/>
      <c r="AI8" s="8" t="s">
        <v>114</v>
      </c>
      <c r="AJ8" s="8">
        <v>100</v>
      </c>
      <c r="AK8" s="8">
        <v>75.12</v>
      </c>
      <c r="AL8" s="8">
        <v>24.88</v>
      </c>
      <c r="AM8" s="8" t="s">
        <v>87</v>
      </c>
      <c r="AN8" s="8" t="s">
        <v>87</v>
      </c>
      <c r="AO8" s="8">
        <v>0</v>
      </c>
      <c r="AP8" s="8">
        <v>1</v>
      </c>
      <c r="AQ8" s="8"/>
      <c r="AR8" s="8">
        <v>0</v>
      </c>
      <c r="AS8" s="8">
        <v>8.17</v>
      </c>
      <c r="AT8" s="54"/>
      <c r="AU8" s="54"/>
    </row>
    <row r="9" spans="1:47" ht="49.95" customHeight="1" x14ac:dyDescent="0.25">
      <c r="A9" s="8">
        <f>SUBTOTAL(3, $J$2:J9)</f>
        <v>8</v>
      </c>
      <c r="B9" s="8" t="s">
        <v>126</v>
      </c>
      <c r="C9" s="8" t="s">
        <v>55</v>
      </c>
      <c r="D9" s="8"/>
      <c r="E9" s="8"/>
      <c r="F9" s="8"/>
      <c r="G9" s="8"/>
      <c r="H9" s="8"/>
      <c r="I9" s="8"/>
      <c r="J9" s="8">
        <v>141240195</v>
      </c>
      <c r="K9" s="8" t="s">
        <v>47</v>
      </c>
      <c r="L9" s="9">
        <f>1.15*Table1[[#This Row],[القيمة]]</f>
        <v>3219194.9999999995</v>
      </c>
      <c r="M9" s="10" t="s">
        <v>176</v>
      </c>
      <c r="N9" s="11">
        <v>2799300</v>
      </c>
      <c r="O9" s="20"/>
      <c r="P9" s="11"/>
      <c r="Q9" s="11"/>
      <c r="R9" s="8" t="s">
        <v>68</v>
      </c>
      <c r="S9" s="10" t="s">
        <v>177</v>
      </c>
      <c r="T9" s="8" t="s">
        <v>60</v>
      </c>
      <c r="U9" s="8" t="s">
        <v>74</v>
      </c>
      <c r="V9" s="8" t="s">
        <v>74</v>
      </c>
      <c r="W9" s="8" t="s">
        <v>52</v>
      </c>
      <c r="X9" s="19" t="s">
        <v>52</v>
      </c>
      <c r="Y9" s="14" t="s">
        <v>178</v>
      </c>
      <c r="Z9" s="14" t="s">
        <v>179</v>
      </c>
      <c r="AA9" s="14"/>
      <c r="AB9" s="10" t="s">
        <v>177</v>
      </c>
      <c r="AC9" s="10"/>
      <c r="AD9" s="12">
        <f>Table1[[#This Row],[القيمة]]</f>
        <v>2799300</v>
      </c>
      <c r="AE9" s="8"/>
      <c r="AF9" s="8"/>
      <c r="AG9" s="8" t="s">
        <v>74</v>
      </c>
      <c r="AH9" s="8"/>
      <c r="AI9" s="8" t="s">
        <v>133</v>
      </c>
      <c r="AJ9" s="8">
        <v>91.45</v>
      </c>
      <c r="AK9" s="8">
        <v>74.180000000000007</v>
      </c>
      <c r="AL9" s="8"/>
      <c r="AM9" s="8"/>
      <c r="AN9" s="8"/>
      <c r="AO9" s="8">
        <v>0</v>
      </c>
      <c r="AP9" s="8">
        <v>0</v>
      </c>
      <c r="AQ9" s="8"/>
      <c r="AR9" s="8">
        <v>17</v>
      </c>
      <c r="AS9" s="8">
        <v>17.27</v>
      </c>
      <c r="AT9" s="54"/>
      <c r="AU9" s="54"/>
    </row>
    <row r="10" spans="1:47" ht="49.95" customHeight="1" x14ac:dyDescent="0.25">
      <c r="A10" s="8">
        <f>SUBTOTAL(3, $J$2:J10)</f>
        <v>9</v>
      </c>
      <c r="B10" s="8"/>
      <c r="C10" s="8" t="s">
        <v>55</v>
      </c>
      <c r="D10" s="8"/>
      <c r="E10" s="8"/>
      <c r="F10" s="8"/>
      <c r="G10" s="8"/>
      <c r="H10" s="8"/>
      <c r="I10" s="8"/>
      <c r="J10" s="8">
        <v>141220119</v>
      </c>
      <c r="K10" s="8" t="s">
        <v>57</v>
      </c>
      <c r="L10" s="9">
        <f>1.15*Table1[[#This Row],[القيمة]]</f>
        <v>14293768.461999999</v>
      </c>
      <c r="M10" s="21" t="s">
        <v>231</v>
      </c>
      <c r="N10" s="22">
        <v>12429363.880000001</v>
      </c>
      <c r="O10" s="65"/>
      <c r="P10" s="22"/>
      <c r="Q10" s="22"/>
      <c r="R10" s="8" t="s">
        <v>68</v>
      </c>
      <c r="S10" s="21" t="s">
        <v>232</v>
      </c>
      <c r="T10" s="19" t="s">
        <v>60</v>
      </c>
      <c r="U10" s="19" t="s">
        <v>86</v>
      </c>
      <c r="V10" s="19" t="s">
        <v>86</v>
      </c>
      <c r="W10" s="8" t="s">
        <v>52</v>
      </c>
      <c r="X10" s="19" t="s">
        <v>52</v>
      </c>
      <c r="Y10" s="14">
        <v>45042</v>
      </c>
      <c r="Z10" s="14">
        <v>45603</v>
      </c>
      <c r="AA10" s="14"/>
      <c r="AB10" s="10" t="s">
        <v>232</v>
      </c>
      <c r="AC10" s="10"/>
      <c r="AD10" s="12">
        <f>Table1[[#This Row],[القيمة]]</f>
        <v>12429363.880000001</v>
      </c>
      <c r="AE10" s="8"/>
      <c r="AF10" s="8"/>
      <c r="AG10" s="19" t="s">
        <v>86</v>
      </c>
      <c r="AH10" s="8"/>
      <c r="AI10" s="8"/>
      <c r="AJ10" s="8"/>
      <c r="AK10" s="8"/>
      <c r="AL10" s="8"/>
      <c r="AM10" s="8"/>
      <c r="AN10" s="8"/>
      <c r="AO10" s="8"/>
      <c r="AP10" s="8"/>
      <c r="AQ10" s="8"/>
      <c r="AR10" s="8"/>
      <c r="AS10" s="8"/>
      <c r="AT10" s="54"/>
      <c r="AU10" s="54"/>
    </row>
    <row r="11" spans="1:47" ht="49.95" customHeight="1" x14ac:dyDescent="0.25">
      <c r="A11" s="8">
        <f>SUBTOTAL(3, $J$2:J11)</f>
        <v>10</v>
      </c>
      <c r="B11" s="8" t="s">
        <v>180</v>
      </c>
      <c r="C11" s="8" t="s">
        <v>55</v>
      </c>
      <c r="D11" s="8"/>
      <c r="E11" s="8"/>
      <c r="F11" s="8"/>
      <c r="G11" s="8"/>
      <c r="H11" s="8"/>
      <c r="I11" s="8"/>
      <c r="J11" s="8">
        <v>141220094</v>
      </c>
      <c r="K11" s="8" t="s">
        <v>47</v>
      </c>
      <c r="L11" s="9">
        <f>1.15*Table1[[#This Row],[القيمة]]</f>
        <v>88387342.469999984</v>
      </c>
      <c r="M11" s="10" t="s">
        <v>233</v>
      </c>
      <c r="N11" s="11">
        <v>76858558.669565216</v>
      </c>
      <c r="O11" s="20"/>
      <c r="P11" s="11"/>
      <c r="Q11" s="11"/>
      <c r="R11" s="8" t="s">
        <v>68</v>
      </c>
      <c r="S11" s="10" t="s">
        <v>234</v>
      </c>
      <c r="T11" s="8" t="s">
        <v>60</v>
      </c>
      <c r="U11" s="8" t="s">
        <v>117</v>
      </c>
      <c r="V11" s="8" t="s">
        <v>117</v>
      </c>
      <c r="W11" s="8" t="s">
        <v>52</v>
      </c>
      <c r="X11" s="19" t="s">
        <v>52</v>
      </c>
      <c r="Y11" s="14" t="s">
        <v>235</v>
      </c>
      <c r="Z11" s="14" t="s">
        <v>236</v>
      </c>
      <c r="AA11" s="14"/>
      <c r="AB11" s="10" t="s">
        <v>234</v>
      </c>
      <c r="AC11" s="10"/>
      <c r="AD11" s="12">
        <f>Table1[[#This Row],[القيمة]]</f>
        <v>76858558.669565216</v>
      </c>
      <c r="AE11" s="8"/>
      <c r="AF11" s="8"/>
      <c r="AG11" s="8" t="s">
        <v>117</v>
      </c>
      <c r="AH11" s="8"/>
      <c r="AI11" s="8"/>
      <c r="AJ11" s="8">
        <v>100</v>
      </c>
      <c r="AK11" s="8">
        <v>97.03</v>
      </c>
      <c r="AL11" s="8"/>
      <c r="AM11" s="8"/>
      <c r="AN11" s="8"/>
      <c r="AO11" s="8"/>
      <c r="AP11" s="8"/>
      <c r="AQ11" s="8"/>
      <c r="AR11" s="8"/>
      <c r="AS11" s="8">
        <v>2.97</v>
      </c>
      <c r="AT11" s="54"/>
      <c r="AU11" s="54"/>
    </row>
    <row r="12" spans="1:47" ht="49.95" customHeight="1" x14ac:dyDescent="0.25">
      <c r="A12" s="8">
        <f>SUBTOTAL(3, $J$2:J12)</f>
        <v>11</v>
      </c>
      <c r="B12" s="8"/>
      <c r="C12" s="8" t="s">
        <v>55</v>
      </c>
      <c r="D12" s="8"/>
      <c r="E12" s="8"/>
      <c r="F12" s="8"/>
      <c r="G12" s="8"/>
      <c r="H12" s="8"/>
      <c r="I12" s="8"/>
      <c r="J12" s="8">
        <v>141210096</v>
      </c>
      <c r="K12" s="8" t="s">
        <v>57</v>
      </c>
      <c r="L12" s="9">
        <f>1.15*Table1[[#This Row],[القيمة]]</f>
        <v>61275425.688999996</v>
      </c>
      <c r="M12" s="21" t="s">
        <v>241</v>
      </c>
      <c r="N12" s="22">
        <v>53282978.859999999</v>
      </c>
      <c r="O12" s="65"/>
      <c r="P12" s="22"/>
      <c r="Q12" s="22"/>
      <c r="R12" s="8" t="s">
        <v>68</v>
      </c>
      <c r="S12" s="21" t="s">
        <v>242</v>
      </c>
      <c r="T12" s="19" t="s">
        <v>60</v>
      </c>
      <c r="U12" s="19" t="s">
        <v>74</v>
      </c>
      <c r="V12" s="19" t="s">
        <v>74</v>
      </c>
      <c r="W12" s="8" t="s">
        <v>52</v>
      </c>
      <c r="X12" s="19" t="s">
        <v>52</v>
      </c>
      <c r="Y12" s="14">
        <v>43425</v>
      </c>
      <c r="Z12" s="14">
        <v>45035</v>
      </c>
      <c r="AA12" s="14"/>
      <c r="AB12" s="10" t="s">
        <v>242</v>
      </c>
      <c r="AC12" s="10"/>
      <c r="AD12" s="12">
        <f>Table1[[#This Row],[القيمة]]</f>
        <v>53282978.859999999</v>
      </c>
      <c r="AE12" s="8"/>
      <c r="AF12" s="8"/>
      <c r="AG12" s="19" t="s">
        <v>74</v>
      </c>
      <c r="AH12" s="8"/>
      <c r="AI12" s="8"/>
      <c r="AJ12" s="8"/>
      <c r="AK12" s="8"/>
      <c r="AL12" s="8"/>
      <c r="AM12" s="8"/>
      <c r="AN12" s="8"/>
      <c r="AO12" s="8"/>
      <c r="AP12" s="8"/>
      <c r="AQ12" s="8"/>
      <c r="AR12" s="8"/>
      <c r="AS12" s="8"/>
      <c r="AT12" s="54"/>
      <c r="AU12" s="54"/>
    </row>
    <row r="13" spans="1:47" ht="49.95" customHeight="1" x14ac:dyDescent="0.25">
      <c r="A13" s="8">
        <f>SUBTOTAL(3, $J$2:J13)</f>
        <v>12</v>
      </c>
      <c r="B13" s="8"/>
      <c r="C13" s="8" t="s">
        <v>55</v>
      </c>
      <c r="D13" s="8"/>
      <c r="E13" s="8"/>
      <c r="F13" s="8"/>
      <c r="G13" s="8"/>
      <c r="H13" s="8"/>
      <c r="I13" s="8"/>
      <c r="J13" s="8">
        <v>141210093</v>
      </c>
      <c r="K13" s="8" t="s">
        <v>57</v>
      </c>
      <c r="L13" s="9">
        <f>1.15*Table1[[#This Row],[القيمة]]</f>
        <v>126243742.62499999</v>
      </c>
      <c r="M13" s="21" t="s">
        <v>243</v>
      </c>
      <c r="N13" s="22">
        <v>109777167.5</v>
      </c>
      <c r="O13" s="65"/>
      <c r="P13" s="22"/>
      <c r="Q13" s="22"/>
      <c r="R13" s="8" t="s">
        <v>68</v>
      </c>
      <c r="S13" s="21" t="s">
        <v>244</v>
      </c>
      <c r="T13" s="19" t="s">
        <v>60</v>
      </c>
      <c r="U13" s="19" t="s">
        <v>117</v>
      </c>
      <c r="V13" s="19" t="s">
        <v>117</v>
      </c>
      <c r="W13" s="8" t="s">
        <v>52</v>
      </c>
      <c r="X13" s="19" t="s">
        <v>52</v>
      </c>
      <c r="Y13" s="14">
        <v>42135</v>
      </c>
      <c r="Z13" s="14">
        <v>43237</v>
      </c>
      <c r="AA13" s="14"/>
      <c r="AB13" s="21" t="s">
        <v>244</v>
      </c>
      <c r="AC13" s="21"/>
      <c r="AD13" s="12">
        <f>Table1[[#This Row],[القيمة]]</f>
        <v>109777167.5</v>
      </c>
      <c r="AE13" s="8"/>
      <c r="AF13" s="8"/>
      <c r="AG13" s="19" t="s">
        <v>117</v>
      </c>
      <c r="AH13" s="8"/>
      <c r="AI13" s="8"/>
      <c r="AJ13" s="8"/>
      <c r="AK13" s="8"/>
      <c r="AL13" s="8"/>
      <c r="AM13" s="8"/>
      <c r="AN13" s="8"/>
      <c r="AO13" s="8"/>
      <c r="AP13" s="8"/>
      <c r="AQ13" s="8"/>
      <c r="AR13" s="8"/>
      <c r="AS13" s="8"/>
      <c r="AT13" s="54"/>
      <c r="AU13" s="54"/>
    </row>
    <row r="14" spans="1:47" ht="49.95" customHeight="1" x14ac:dyDescent="0.25">
      <c r="A14" s="8">
        <f>SUBTOTAL(3, $J$2:J14)</f>
        <v>13</v>
      </c>
      <c r="B14" s="8"/>
      <c r="C14" s="8" t="s">
        <v>55</v>
      </c>
      <c r="D14" s="8"/>
      <c r="E14" s="8"/>
      <c r="F14" s="8"/>
      <c r="G14" s="8"/>
      <c r="H14" s="8"/>
      <c r="I14" s="8"/>
      <c r="J14" s="8">
        <v>141210092</v>
      </c>
      <c r="K14" s="8" t="s">
        <v>57</v>
      </c>
      <c r="L14" s="9">
        <f>1.15*Table1[[#This Row],[القيمة]]</f>
        <v>57314817.730999991</v>
      </c>
      <c r="M14" s="21" t="s">
        <v>245</v>
      </c>
      <c r="N14" s="22">
        <v>49838971.939999998</v>
      </c>
      <c r="O14" s="65"/>
      <c r="P14" s="22"/>
      <c r="Q14" s="22"/>
      <c r="R14" s="8" t="s">
        <v>68</v>
      </c>
      <c r="S14" s="21" t="s">
        <v>246</v>
      </c>
      <c r="T14" s="19" t="s">
        <v>60</v>
      </c>
      <c r="U14" s="19" t="s">
        <v>117</v>
      </c>
      <c r="V14" s="19" t="s">
        <v>117</v>
      </c>
      <c r="W14" s="8" t="s">
        <v>52</v>
      </c>
      <c r="X14" s="19" t="s">
        <v>52</v>
      </c>
      <c r="Y14" s="14">
        <v>41864</v>
      </c>
      <c r="Z14" s="14">
        <v>43674</v>
      </c>
      <c r="AA14" s="14"/>
      <c r="AB14" s="10" t="s">
        <v>246</v>
      </c>
      <c r="AC14" s="10"/>
      <c r="AD14" s="12">
        <f>Table1[[#This Row],[القيمة]]</f>
        <v>49838971.939999998</v>
      </c>
      <c r="AE14" s="8"/>
      <c r="AF14" s="8"/>
      <c r="AG14" s="19" t="s">
        <v>117</v>
      </c>
      <c r="AH14" s="8"/>
      <c r="AI14" s="8"/>
      <c r="AJ14" s="8"/>
      <c r="AK14" s="8"/>
      <c r="AL14" s="8"/>
      <c r="AM14" s="8"/>
      <c r="AN14" s="8"/>
      <c r="AO14" s="8"/>
      <c r="AP14" s="8"/>
      <c r="AQ14" s="8"/>
      <c r="AR14" s="8"/>
      <c r="AS14" s="8"/>
      <c r="AT14" s="54"/>
      <c r="AU14" s="54"/>
    </row>
    <row r="15" spans="1:47" ht="49.95" customHeight="1" x14ac:dyDescent="0.25">
      <c r="A15" s="8">
        <f>SUBTOTAL(3, $J$2:J15)</f>
        <v>14</v>
      </c>
      <c r="B15" s="8"/>
      <c r="C15" s="8" t="s">
        <v>55</v>
      </c>
      <c r="D15" s="8"/>
      <c r="E15" s="8"/>
      <c r="F15" s="8"/>
      <c r="G15" s="8"/>
      <c r="H15" s="8"/>
      <c r="I15" s="8"/>
      <c r="J15" s="8">
        <v>141210085</v>
      </c>
      <c r="K15" s="8" t="s">
        <v>57</v>
      </c>
      <c r="L15" s="9">
        <f>1.15*Table1[[#This Row],[القيمة]]</f>
        <v>29452132.499999996</v>
      </c>
      <c r="M15" s="21" t="s">
        <v>247</v>
      </c>
      <c r="N15" s="22">
        <v>25610550</v>
      </c>
      <c r="O15" s="65"/>
      <c r="P15" s="22"/>
      <c r="Q15" s="22"/>
      <c r="R15" s="8" t="s">
        <v>68</v>
      </c>
      <c r="S15" s="21" t="s">
        <v>195</v>
      </c>
      <c r="T15" s="19" t="s">
        <v>60</v>
      </c>
      <c r="U15" s="19" t="s">
        <v>74</v>
      </c>
      <c r="V15" s="19" t="s">
        <v>74</v>
      </c>
      <c r="W15" s="8" t="s">
        <v>52</v>
      </c>
      <c r="X15" s="19" t="s">
        <v>52</v>
      </c>
      <c r="Y15" s="14">
        <v>43392</v>
      </c>
      <c r="Z15" s="14">
        <v>44697</v>
      </c>
      <c r="AA15" s="14"/>
      <c r="AB15" s="10" t="s">
        <v>195</v>
      </c>
      <c r="AC15" s="10"/>
      <c r="AD15" s="12">
        <f>Table1[[#This Row],[القيمة]]</f>
        <v>25610550</v>
      </c>
      <c r="AE15" s="8"/>
      <c r="AF15" s="8"/>
      <c r="AG15" s="19" t="s">
        <v>74</v>
      </c>
      <c r="AH15" s="8"/>
      <c r="AI15" s="8"/>
      <c r="AJ15" s="8"/>
      <c r="AK15" s="8"/>
      <c r="AL15" s="8"/>
      <c r="AM15" s="8"/>
      <c r="AN15" s="8"/>
      <c r="AO15" s="8"/>
      <c r="AP15" s="8"/>
      <c r="AQ15" s="8"/>
      <c r="AR15" s="8"/>
      <c r="AS15" s="8"/>
      <c r="AT15" s="54"/>
      <c r="AU15" s="54"/>
    </row>
    <row r="16" spans="1:47" ht="49.95" customHeight="1" x14ac:dyDescent="0.25">
      <c r="A16" s="8">
        <f>SUBTOTAL(3, $J$2:J16)</f>
        <v>15</v>
      </c>
      <c r="B16" s="8"/>
      <c r="C16" s="8" t="s">
        <v>55</v>
      </c>
      <c r="D16" s="8"/>
      <c r="E16" s="8"/>
      <c r="F16" s="8"/>
      <c r="G16" s="8"/>
      <c r="H16" s="8"/>
      <c r="I16" s="8"/>
      <c r="J16" s="8">
        <v>141210084</v>
      </c>
      <c r="K16" s="8" t="s">
        <v>57</v>
      </c>
      <c r="L16" s="9">
        <f>1.15*Table1[[#This Row],[القيمة]]</f>
        <v>43622950</v>
      </c>
      <c r="M16" s="21" t="s">
        <v>248</v>
      </c>
      <c r="N16" s="22">
        <v>37933000</v>
      </c>
      <c r="O16" s="65"/>
      <c r="P16" s="22"/>
      <c r="Q16" s="22"/>
      <c r="R16" s="8" t="s">
        <v>68</v>
      </c>
      <c r="S16" s="21" t="s">
        <v>195</v>
      </c>
      <c r="T16" s="19" t="s">
        <v>60</v>
      </c>
      <c r="U16" s="19" t="s">
        <v>74</v>
      </c>
      <c r="V16" s="19" t="s">
        <v>74</v>
      </c>
      <c r="W16" s="8" t="s">
        <v>52</v>
      </c>
      <c r="X16" s="19" t="s">
        <v>52</v>
      </c>
      <c r="Y16" s="14">
        <v>43194</v>
      </c>
      <c r="Z16" s="14">
        <v>44779</v>
      </c>
      <c r="AA16" s="14"/>
      <c r="AB16" s="10" t="s">
        <v>195</v>
      </c>
      <c r="AC16" s="10"/>
      <c r="AD16" s="12">
        <f>Table1[[#This Row],[القيمة]]</f>
        <v>37933000</v>
      </c>
      <c r="AE16" s="8"/>
      <c r="AF16" s="8"/>
      <c r="AG16" s="19" t="s">
        <v>74</v>
      </c>
      <c r="AH16" s="8"/>
      <c r="AI16" s="8"/>
      <c r="AJ16" s="8"/>
      <c r="AK16" s="8"/>
      <c r="AL16" s="8"/>
      <c r="AM16" s="8"/>
      <c r="AN16" s="8"/>
      <c r="AO16" s="8"/>
      <c r="AP16" s="8"/>
      <c r="AQ16" s="8"/>
      <c r="AR16" s="8"/>
      <c r="AS16" s="8"/>
      <c r="AT16" s="54"/>
      <c r="AU16" s="54"/>
    </row>
    <row r="17" spans="1:47" ht="49.95" customHeight="1" x14ac:dyDescent="0.25">
      <c r="A17" s="8">
        <f>SUBTOTAL(3, $J$2:J17)</f>
        <v>16</v>
      </c>
      <c r="B17" s="8"/>
      <c r="C17" s="8" t="s">
        <v>55</v>
      </c>
      <c r="D17" s="8"/>
      <c r="E17" s="8"/>
      <c r="F17" s="8"/>
      <c r="G17" s="8"/>
      <c r="H17" s="8"/>
      <c r="I17" s="8"/>
      <c r="J17" s="8">
        <v>141210083</v>
      </c>
      <c r="K17" s="8" t="s">
        <v>57</v>
      </c>
      <c r="L17" s="9">
        <f>1.15*Table1[[#This Row],[القيمة]]</f>
        <v>74725447.5</v>
      </c>
      <c r="M17" s="21" t="s">
        <v>249</v>
      </c>
      <c r="N17" s="22">
        <v>64978650</v>
      </c>
      <c r="O17" s="65"/>
      <c r="P17" s="22"/>
      <c r="Q17" s="22"/>
      <c r="R17" s="8" t="s">
        <v>68</v>
      </c>
      <c r="S17" s="21" t="s">
        <v>195</v>
      </c>
      <c r="T17" s="19" t="s">
        <v>60</v>
      </c>
      <c r="U17" s="19" t="s">
        <v>74</v>
      </c>
      <c r="V17" s="19" t="s">
        <v>74</v>
      </c>
      <c r="W17" s="8" t="s">
        <v>52</v>
      </c>
      <c r="X17" s="19" t="s">
        <v>52</v>
      </c>
      <c r="Y17" s="14">
        <v>43296</v>
      </c>
      <c r="Z17" s="14">
        <v>45117</v>
      </c>
      <c r="AA17" s="14"/>
      <c r="AB17" s="10" t="s">
        <v>195</v>
      </c>
      <c r="AC17" s="10"/>
      <c r="AD17" s="12">
        <f>Table1[[#This Row],[القيمة]]</f>
        <v>64978650</v>
      </c>
      <c r="AE17" s="8"/>
      <c r="AF17" s="8"/>
      <c r="AG17" s="19" t="s">
        <v>74</v>
      </c>
      <c r="AH17" s="8"/>
      <c r="AI17" s="8"/>
      <c r="AJ17" s="8"/>
      <c r="AK17" s="8"/>
      <c r="AL17" s="8"/>
      <c r="AM17" s="8"/>
      <c r="AN17" s="8"/>
      <c r="AO17" s="8"/>
      <c r="AP17" s="8"/>
      <c r="AQ17" s="8"/>
      <c r="AR17" s="8"/>
      <c r="AS17" s="8"/>
      <c r="AT17" s="54"/>
      <c r="AU17" s="54"/>
    </row>
    <row r="18" spans="1:47" ht="49.95" customHeight="1" x14ac:dyDescent="0.25">
      <c r="A18" s="8">
        <f>SUBTOTAL(3, $J$2:J18)</f>
        <v>17</v>
      </c>
      <c r="B18" s="8"/>
      <c r="C18" s="8" t="s">
        <v>55</v>
      </c>
      <c r="D18" s="8"/>
      <c r="E18" s="8"/>
      <c r="F18" s="8"/>
      <c r="G18" s="8"/>
      <c r="H18" s="8"/>
      <c r="I18" s="8"/>
      <c r="J18" s="8">
        <v>141210078</v>
      </c>
      <c r="K18" s="8" t="s">
        <v>57</v>
      </c>
      <c r="L18" s="9">
        <f>1.15*Table1[[#This Row],[القيمة]]</f>
        <v>151997529.75</v>
      </c>
      <c r="M18" s="20" t="s">
        <v>250</v>
      </c>
      <c r="N18" s="11">
        <v>132171765</v>
      </c>
      <c r="O18" s="20"/>
      <c r="P18" s="11"/>
      <c r="Q18" s="11"/>
      <c r="R18" s="8" t="s">
        <v>68</v>
      </c>
      <c r="S18" s="10" t="s">
        <v>251</v>
      </c>
      <c r="T18" s="8" t="s">
        <v>60</v>
      </c>
      <c r="U18" s="8" t="s">
        <v>252</v>
      </c>
      <c r="V18" s="19" t="s">
        <v>117</v>
      </c>
      <c r="W18" s="8" t="s">
        <v>52</v>
      </c>
      <c r="X18" s="19" t="s">
        <v>52</v>
      </c>
      <c r="Y18" s="14">
        <v>42095</v>
      </c>
      <c r="Z18" s="14">
        <v>44722</v>
      </c>
      <c r="AA18" s="14"/>
      <c r="AB18" s="10" t="s">
        <v>253</v>
      </c>
      <c r="AC18" s="10"/>
      <c r="AD18" s="12">
        <f>Table1[[#This Row],[القيمة]]</f>
        <v>132171765</v>
      </c>
      <c r="AE18" s="8"/>
      <c r="AF18" s="8"/>
      <c r="AG18" s="8" t="s">
        <v>252</v>
      </c>
      <c r="AH18" s="8"/>
      <c r="AI18" s="8"/>
      <c r="AJ18" s="8"/>
      <c r="AK18" s="8"/>
      <c r="AL18" s="8"/>
      <c r="AM18" s="8"/>
      <c r="AN18" s="8"/>
      <c r="AO18" s="8"/>
      <c r="AP18" s="8"/>
      <c r="AQ18" s="8"/>
      <c r="AR18" s="8"/>
      <c r="AS18" s="8"/>
      <c r="AT18" s="54"/>
      <c r="AU18" s="54"/>
    </row>
    <row r="19" spans="1:47" ht="49.95" customHeight="1" x14ac:dyDescent="0.25">
      <c r="A19" s="8">
        <f>SUBTOTAL(3, $J$2:J19)</f>
        <v>18</v>
      </c>
      <c r="B19" s="8"/>
      <c r="C19" s="8" t="s">
        <v>55</v>
      </c>
      <c r="D19" s="8"/>
      <c r="E19" s="8"/>
      <c r="F19" s="8"/>
      <c r="G19" s="8"/>
      <c r="H19" s="8"/>
      <c r="I19" s="8"/>
      <c r="J19" s="8">
        <v>141210065</v>
      </c>
      <c r="K19" s="8" t="s">
        <v>57</v>
      </c>
      <c r="L19" s="9">
        <f>1.15*Table1[[#This Row],[القيمة]]</f>
        <v>61531124.508999988</v>
      </c>
      <c r="M19" s="21" t="s">
        <v>254</v>
      </c>
      <c r="N19" s="22">
        <v>53505325.659999996</v>
      </c>
      <c r="O19" s="65"/>
      <c r="P19" s="22"/>
      <c r="Q19" s="22"/>
      <c r="R19" s="8" t="s">
        <v>68</v>
      </c>
      <c r="S19" s="21" t="s">
        <v>255</v>
      </c>
      <c r="T19" s="19" t="s">
        <v>60</v>
      </c>
      <c r="U19" s="19" t="s">
        <v>70</v>
      </c>
      <c r="V19" s="19" t="s">
        <v>70</v>
      </c>
      <c r="W19" s="8" t="s">
        <v>52</v>
      </c>
      <c r="X19" s="19" t="s">
        <v>52</v>
      </c>
      <c r="Y19" s="14">
        <v>41232</v>
      </c>
      <c r="Z19" s="14">
        <v>42650</v>
      </c>
      <c r="AA19" s="14"/>
      <c r="AB19" s="10" t="s">
        <v>255</v>
      </c>
      <c r="AC19" s="10"/>
      <c r="AD19" s="12">
        <f>Table1[[#This Row],[القيمة]]</f>
        <v>53505325.659999996</v>
      </c>
      <c r="AE19" s="8"/>
      <c r="AF19" s="8"/>
      <c r="AG19" s="19" t="s">
        <v>70</v>
      </c>
      <c r="AH19" s="8"/>
      <c r="AI19" s="8"/>
      <c r="AJ19" s="8"/>
      <c r="AK19" s="8"/>
      <c r="AL19" s="8"/>
      <c r="AM19" s="8"/>
      <c r="AN19" s="8"/>
      <c r="AO19" s="8"/>
      <c r="AP19" s="8"/>
      <c r="AQ19" s="8"/>
      <c r="AR19" s="8"/>
      <c r="AS19" s="8"/>
      <c r="AT19" s="54"/>
      <c r="AU19" s="54"/>
    </row>
    <row r="20" spans="1:47" ht="49.95" customHeight="1" x14ac:dyDescent="0.25">
      <c r="A20" s="8">
        <f>SUBTOTAL(3, $J$2:J20)</f>
        <v>19</v>
      </c>
      <c r="B20" s="8"/>
      <c r="C20" s="8" t="s">
        <v>55</v>
      </c>
      <c r="D20" s="8"/>
      <c r="E20" s="8"/>
      <c r="F20" s="8"/>
      <c r="G20" s="8"/>
      <c r="H20" s="8"/>
      <c r="I20" s="8"/>
      <c r="J20" s="8">
        <v>141210062</v>
      </c>
      <c r="K20" s="8" t="s">
        <v>57</v>
      </c>
      <c r="L20" s="9">
        <f>1.15*Table1[[#This Row],[القيمة]]</f>
        <v>2329319.6409999998</v>
      </c>
      <c r="M20" s="21" t="s">
        <v>256</v>
      </c>
      <c r="N20" s="22">
        <v>2025495.34</v>
      </c>
      <c r="O20" s="65"/>
      <c r="P20" s="22"/>
      <c r="Q20" s="22"/>
      <c r="R20" s="8" t="s">
        <v>68</v>
      </c>
      <c r="S20" s="21" t="s">
        <v>257</v>
      </c>
      <c r="T20" s="19" t="s">
        <v>60</v>
      </c>
      <c r="U20" s="19" t="s">
        <v>74</v>
      </c>
      <c r="V20" s="19" t="s">
        <v>74</v>
      </c>
      <c r="W20" s="8" t="s">
        <v>52</v>
      </c>
      <c r="X20" s="19" t="s">
        <v>52</v>
      </c>
      <c r="Y20" s="14">
        <v>44187</v>
      </c>
      <c r="Z20" s="14">
        <v>44581</v>
      </c>
      <c r="AA20" s="14"/>
      <c r="AB20" s="10" t="s">
        <v>257</v>
      </c>
      <c r="AC20" s="10"/>
      <c r="AD20" s="12">
        <f>Table1[[#This Row],[القيمة]]</f>
        <v>2025495.34</v>
      </c>
      <c r="AE20" s="8"/>
      <c r="AF20" s="8"/>
      <c r="AG20" s="19" t="s">
        <v>74</v>
      </c>
      <c r="AH20" s="8"/>
      <c r="AI20" s="8"/>
      <c r="AJ20" s="8"/>
      <c r="AK20" s="8"/>
      <c r="AL20" s="8"/>
      <c r="AM20" s="8"/>
      <c r="AN20" s="8"/>
      <c r="AO20" s="8"/>
      <c r="AP20" s="8"/>
      <c r="AQ20" s="8"/>
      <c r="AR20" s="8"/>
      <c r="AS20" s="8"/>
      <c r="AT20" s="54"/>
      <c r="AU20" s="54"/>
    </row>
    <row r="21" spans="1:47" ht="49.95" customHeight="1" x14ac:dyDescent="0.25">
      <c r="A21" s="8">
        <f>SUBTOTAL(3, $J$2:J21)</f>
        <v>20</v>
      </c>
      <c r="B21" s="8"/>
      <c r="C21" s="8" t="s">
        <v>55</v>
      </c>
      <c r="D21" s="8"/>
      <c r="E21" s="8"/>
      <c r="F21" s="8"/>
      <c r="G21" s="8"/>
      <c r="H21" s="8"/>
      <c r="I21" s="8"/>
      <c r="J21" s="8">
        <v>141210060</v>
      </c>
      <c r="K21" s="8" t="s">
        <v>57</v>
      </c>
      <c r="L21" s="9">
        <f>1.15*Table1[[#This Row],[القيمة]]</f>
        <v>62148372.438499995</v>
      </c>
      <c r="M21" s="21" t="s">
        <v>258</v>
      </c>
      <c r="N21" s="22">
        <v>54042062.990000002</v>
      </c>
      <c r="O21" s="65"/>
      <c r="P21" s="22"/>
      <c r="Q21" s="22"/>
      <c r="R21" s="8" t="s">
        <v>68</v>
      </c>
      <c r="S21" s="21" t="s">
        <v>69</v>
      </c>
      <c r="T21" s="19" t="s">
        <v>60</v>
      </c>
      <c r="U21" s="19" t="s">
        <v>70</v>
      </c>
      <c r="V21" s="19" t="s">
        <v>70</v>
      </c>
      <c r="W21" s="8" t="s">
        <v>52</v>
      </c>
      <c r="X21" s="19" t="s">
        <v>52</v>
      </c>
      <c r="Y21" s="14">
        <v>42047</v>
      </c>
      <c r="Z21" s="14">
        <v>44029</v>
      </c>
      <c r="AA21" s="14"/>
      <c r="AB21" s="10" t="s">
        <v>64</v>
      </c>
      <c r="AC21" s="10"/>
      <c r="AD21" s="12">
        <f>Table1[[#This Row],[القيمة]]</f>
        <v>54042062.990000002</v>
      </c>
      <c r="AE21" s="8"/>
      <c r="AF21" s="8"/>
      <c r="AG21" s="19" t="s">
        <v>70</v>
      </c>
      <c r="AH21" s="8"/>
      <c r="AI21" s="8"/>
      <c r="AJ21" s="8"/>
      <c r="AK21" s="8"/>
      <c r="AL21" s="8"/>
      <c r="AM21" s="8"/>
      <c r="AN21" s="8"/>
      <c r="AO21" s="8"/>
      <c r="AP21" s="8"/>
      <c r="AQ21" s="8"/>
      <c r="AR21" s="8"/>
      <c r="AS21" s="8"/>
      <c r="AT21" s="54"/>
      <c r="AU21" s="54"/>
    </row>
    <row r="22" spans="1:47" ht="49.95" customHeight="1" x14ac:dyDescent="0.25">
      <c r="A22" s="8">
        <f>SUBTOTAL(3, $J$2:J22)</f>
        <v>21</v>
      </c>
      <c r="B22" s="8"/>
      <c r="C22" s="8" t="s">
        <v>55</v>
      </c>
      <c r="D22" s="8"/>
      <c r="E22" s="8"/>
      <c r="F22" s="8"/>
      <c r="G22" s="8"/>
      <c r="H22" s="8"/>
      <c r="I22" s="8"/>
      <c r="J22" s="8">
        <v>141210059</v>
      </c>
      <c r="K22" s="8" t="s">
        <v>57</v>
      </c>
      <c r="L22" s="9">
        <f>1.15*Table1[[#This Row],[القيمة]]</f>
        <v>4614996</v>
      </c>
      <c r="M22" s="21" t="s">
        <v>259</v>
      </c>
      <c r="N22" s="22">
        <v>4013040</v>
      </c>
      <c r="O22" s="65"/>
      <c r="P22" s="22"/>
      <c r="Q22" s="22"/>
      <c r="R22" s="8" t="s">
        <v>68</v>
      </c>
      <c r="S22" s="21" t="s">
        <v>260</v>
      </c>
      <c r="T22" s="19" t="s">
        <v>60</v>
      </c>
      <c r="U22" s="19" t="s">
        <v>70</v>
      </c>
      <c r="V22" s="19" t="s">
        <v>70</v>
      </c>
      <c r="W22" s="8" t="s">
        <v>52</v>
      </c>
      <c r="X22" s="19" t="s">
        <v>52</v>
      </c>
      <c r="Y22" s="14">
        <v>44200</v>
      </c>
      <c r="Z22" s="14">
        <v>44438</v>
      </c>
      <c r="AA22" s="14"/>
      <c r="AB22" s="10" t="s">
        <v>260</v>
      </c>
      <c r="AC22" s="10"/>
      <c r="AD22" s="12">
        <f>Table1[[#This Row],[القيمة]]</f>
        <v>4013040</v>
      </c>
      <c r="AE22" s="8"/>
      <c r="AF22" s="8"/>
      <c r="AG22" s="19" t="s">
        <v>70</v>
      </c>
      <c r="AH22" s="8"/>
      <c r="AI22" s="8"/>
      <c r="AJ22" s="8"/>
      <c r="AK22" s="8"/>
      <c r="AL22" s="8"/>
      <c r="AM22" s="8"/>
      <c r="AN22" s="8"/>
      <c r="AO22" s="8"/>
      <c r="AP22" s="8"/>
      <c r="AQ22" s="8"/>
      <c r="AR22" s="8"/>
      <c r="AS22" s="8"/>
      <c r="AT22" s="54"/>
      <c r="AU22" s="54"/>
    </row>
    <row r="23" spans="1:47" ht="49.95" customHeight="1" x14ac:dyDescent="0.25">
      <c r="A23" s="8">
        <f>SUBTOTAL(3, $J$2:J23)</f>
        <v>22</v>
      </c>
      <c r="B23" s="8"/>
      <c r="C23" s="8" t="s">
        <v>55</v>
      </c>
      <c r="D23" s="8"/>
      <c r="E23" s="8"/>
      <c r="F23" s="8"/>
      <c r="G23" s="8"/>
      <c r="H23" s="8"/>
      <c r="I23" s="8"/>
      <c r="J23" s="8">
        <v>141210050</v>
      </c>
      <c r="K23" s="8" t="s">
        <v>57</v>
      </c>
      <c r="L23" s="9">
        <f>1.15*Table1[[#This Row],[القيمة]]</f>
        <v>17185708.099999998</v>
      </c>
      <c r="M23" s="21" t="s">
        <v>261</v>
      </c>
      <c r="N23" s="22">
        <v>14944094</v>
      </c>
      <c r="O23" s="65"/>
      <c r="P23" s="22"/>
      <c r="Q23" s="22"/>
      <c r="R23" s="8" t="s">
        <v>68</v>
      </c>
      <c r="S23" s="21" t="s">
        <v>195</v>
      </c>
      <c r="T23" s="19" t="s">
        <v>60</v>
      </c>
      <c r="U23" s="19" t="s">
        <v>70</v>
      </c>
      <c r="V23" s="19" t="s">
        <v>70</v>
      </c>
      <c r="W23" s="8" t="s">
        <v>52</v>
      </c>
      <c r="X23" s="19" t="s">
        <v>52</v>
      </c>
      <c r="Y23" s="14">
        <v>43392</v>
      </c>
      <c r="Z23" s="14">
        <v>44260</v>
      </c>
      <c r="AA23" s="18"/>
      <c r="AB23" s="10" t="s">
        <v>195</v>
      </c>
      <c r="AC23" s="10"/>
      <c r="AD23" s="12">
        <f>Table1[[#This Row],[القيمة]]</f>
        <v>14944094</v>
      </c>
      <c r="AE23" s="8"/>
      <c r="AF23" s="8"/>
      <c r="AG23" s="19" t="s">
        <v>70</v>
      </c>
      <c r="AH23" s="8"/>
      <c r="AI23" s="8"/>
      <c r="AJ23" s="8"/>
      <c r="AK23" s="8"/>
      <c r="AL23" s="8"/>
      <c r="AM23" s="8"/>
      <c r="AN23" s="8"/>
      <c r="AO23" s="8"/>
      <c r="AP23" s="8"/>
      <c r="AQ23" s="8"/>
      <c r="AR23" s="8"/>
      <c r="AS23" s="8"/>
      <c r="AT23" s="54"/>
      <c r="AU23" s="54"/>
    </row>
    <row r="24" spans="1:47" ht="49.95" customHeight="1" x14ac:dyDescent="0.25">
      <c r="A24" s="8">
        <f>SUBTOTAL(3, $J$2:J24)</f>
        <v>23</v>
      </c>
      <c r="B24" s="8"/>
      <c r="C24" s="8" t="s">
        <v>55</v>
      </c>
      <c r="D24" s="8"/>
      <c r="E24" s="8"/>
      <c r="F24" s="8"/>
      <c r="G24" s="8"/>
      <c r="H24" s="8"/>
      <c r="I24" s="8"/>
      <c r="J24" s="8">
        <v>141210047</v>
      </c>
      <c r="K24" s="8" t="s">
        <v>57</v>
      </c>
      <c r="L24" s="9">
        <f>1.15*Table1[[#This Row],[القيمة]]</f>
        <v>27672704.149999999</v>
      </c>
      <c r="M24" s="21" t="s">
        <v>262</v>
      </c>
      <c r="N24" s="22">
        <v>24063221</v>
      </c>
      <c r="O24" s="65"/>
      <c r="P24" s="22"/>
      <c r="Q24" s="22"/>
      <c r="R24" s="8" t="s">
        <v>68</v>
      </c>
      <c r="S24" s="21" t="s">
        <v>160</v>
      </c>
      <c r="T24" s="19" t="s">
        <v>60</v>
      </c>
      <c r="U24" s="8" t="s">
        <v>86</v>
      </c>
      <c r="V24" s="8" t="s">
        <v>86</v>
      </c>
      <c r="W24" s="8" t="s">
        <v>52</v>
      </c>
      <c r="X24" s="19" t="s">
        <v>52</v>
      </c>
      <c r="Y24" s="14">
        <v>44355</v>
      </c>
      <c r="Z24" s="14">
        <v>45281</v>
      </c>
      <c r="AA24" s="14"/>
      <c r="AB24" s="10" t="s">
        <v>160</v>
      </c>
      <c r="AC24" s="10"/>
      <c r="AD24" s="12">
        <f>Table1[[#This Row],[القيمة]]</f>
        <v>24063221</v>
      </c>
      <c r="AE24" s="8"/>
      <c r="AF24" s="8"/>
      <c r="AG24" s="8" t="s">
        <v>86</v>
      </c>
      <c r="AH24" s="8"/>
      <c r="AI24" s="8"/>
      <c r="AJ24" s="8"/>
      <c r="AK24" s="8"/>
      <c r="AL24" s="8"/>
      <c r="AM24" s="8"/>
      <c r="AN24" s="8"/>
      <c r="AO24" s="8"/>
      <c r="AP24" s="8"/>
      <c r="AQ24" s="8"/>
      <c r="AR24" s="8"/>
      <c r="AS24" s="8"/>
      <c r="AT24" s="54"/>
      <c r="AU24" s="54"/>
    </row>
    <row r="25" spans="1:47" ht="49.95" customHeight="1" x14ac:dyDescent="0.25">
      <c r="A25" s="8">
        <f>SUBTOTAL(3, $J$2:J25)</f>
        <v>24</v>
      </c>
      <c r="B25" s="8" t="s">
        <v>52</v>
      </c>
      <c r="C25" s="8" t="s">
        <v>55</v>
      </c>
      <c r="D25" s="8"/>
      <c r="E25" s="8"/>
      <c r="F25" s="8"/>
      <c r="G25" s="8"/>
      <c r="H25" s="8"/>
      <c r="I25" s="8"/>
      <c r="J25" s="8">
        <v>141210042</v>
      </c>
      <c r="K25" s="8" t="s">
        <v>47</v>
      </c>
      <c r="L25" s="9">
        <f>1.15*Table1[[#This Row],[القيمة]]</f>
        <v>37754114.109999999</v>
      </c>
      <c r="M25" s="10" t="s">
        <v>263</v>
      </c>
      <c r="N25" s="11">
        <v>32829664.44347826</v>
      </c>
      <c r="O25" s="20"/>
      <c r="P25" s="11"/>
      <c r="Q25" s="11"/>
      <c r="R25" s="8" t="s">
        <v>68</v>
      </c>
      <c r="S25" s="10" t="s">
        <v>264</v>
      </c>
      <c r="T25" s="8" t="s">
        <v>60</v>
      </c>
      <c r="U25" s="8" t="s">
        <v>86</v>
      </c>
      <c r="V25" s="8" t="s">
        <v>86</v>
      </c>
      <c r="W25" s="8" t="s">
        <v>52</v>
      </c>
      <c r="X25" s="19" t="s">
        <v>52</v>
      </c>
      <c r="Y25" s="14" t="s">
        <v>265</v>
      </c>
      <c r="Z25" s="14" t="s">
        <v>266</v>
      </c>
      <c r="AA25" s="14"/>
      <c r="AB25" s="10" t="s">
        <v>264</v>
      </c>
      <c r="AC25" s="10"/>
      <c r="AD25" s="12">
        <f>Table1[[#This Row],[القيمة]]</f>
        <v>32829664.44347826</v>
      </c>
      <c r="AE25" s="8"/>
      <c r="AF25" s="8"/>
      <c r="AG25" s="8" t="s">
        <v>86</v>
      </c>
      <c r="AH25" s="8"/>
      <c r="AI25" s="8"/>
      <c r="AJ25" s="8">
        <v>100</v>
      </c>
      <c r="AK25" s="8">
        <v>84.03</v>
      </c>
      <c r="AL25" s="8"/>
      <c r="AM25" s="8"/>
      <c r="AN25" s="8"/>
      <c r="AO25" s="8"/>
      <c r="AP25" s="8"/>
      <c r="AQ25" s="8"/>
      <c r="AR25" s="8"/>
      <c r="AS25" s="8">
        <v>15.97</v>
      </c>
      <c r="AT25" s="54"/>
      <c r="AU25" s="54"/>
    </row>
    <row r="26" spans="1:47" ht="49.95" customHeight="1" x14ac:dyDescent="0.25">
      <c r="A26" s="8">
        <f>SUBTOTAL(3, $J$2:J26)</f>
        <v>25</v>
      </c>
      <c r="B26" s="8"/>
      <c r="C26" s="8" t="s">
        <v>55</v>
      </c>
      <c r="D26" s="8"/>
      <c r="E26" s="8"/>
      <c r="F26" s="8"/>
      <c r="G26" s="8"/>
      <c r="H26" s="8"/>
      <c r="I26" s="8"/>
      <c r="J26" s="8">
        <v>141210032</v>
      </c>
      <c r="K26" s="8" t="s">
        <v>57</v>
      </c>
      <c r="L26" s="9">
        <f>1.15*Table1[[#This Row],[القيمة]]</f>
        <v>19495747.599999998</v>
      </c>
      <c r="M26" s="21" t="s">
        <v>267</v>
      </c>
      <c r="N26" s="22">
        <v>16952824</v>
      </c>
      <c r="O26" s="65"/>
      <c r="P26" s="22"/>
      <c r="Q26" s="22"/>
      <c r="R26" s="8" t="s">
        <v>68</v>
      </c>
      <c r="S26" s="21" t="s">
        <v>268</v>
      </c>
      <c r="T26" s="19" t="s">
        <v>60</v>
      </c>
      <c r="U26" s="19" t="s">
        <v>74</v>
      </c>
      <c r="V26" s="19" t="s">
        <v>74</v>
      </c>
      <c r="W26" s="8" t="s">
        <v>52</v>
      </c>
      <c r="X26" s="19" t="s">
        <v>52</v>
      </c>
      <c r="Y26" s="14">
        <v>42221</v>
      </c>
      <c r="Z26" s="14">
        <v>44192</v>
      </c>
      <c r="AA26" s="14"/>
      <c r="AB26" s="10" t="s">
        <v>232</v>
      </c>
      <c r="AC26" s="10"/>
      <c r="AD26" s="12">
        <f>Table1[[#This Row],[القيمة]]</f>
        <v>16952824</v>
      </c>
      <c r="AE26" s="8"/>
      <c r="AF26" s="8"/>
      <c r="AG26" s="19" t="s">
        <v>74</v>
      </c>
      <c r="AH26" s="8"/>
      <c r="AI26" s="8"/>
      <c r="AJ26" s="8"/>
      <c r="AK26" s="8"/>
      <c r="AL26" s="8"/>
      <c r="AM26" s="8"/>
      <c r="AN26" s="8"/>
      <c r="AO26" s="8"/>
      <c r="AP26" s="8"/>
      <c r="AQ26" s="8"/>
      <c r="AR26" s="8"/>
      <c r="AS26" s="8"/>
      <c r="AT26" s="54"/>
      <c r="AU26" s="54"/>
    </row>
    <row r="27" spans="1:47" ht="49.95" customHeight="1" x14ac:dyDescent="0.25">
      <c r="A27" s="8">
        <f>SUBTOTAL(3, $J$2:J27)</f>
        <v>26</v>
      </c>
      <c r="B27" s="8"/>
      <c r="C27" s="8" t="s">
        <v>55</v>
      </c>
      <c r="D27" s="8"/>
      <c r="E27" s="8"/>
      <c r="F27" s="8"/>
      <c r="G27" s="8"/>
      <c r="H27" s="8"/>
      <c r="I27" s="8"/>
      <c r="J27" s="8">
        <v>141210031</v>
      </c>
      <c r="K27" s="8" t="s">
        <v>47</v>
      </c>
      <c r="L27" s="9">
        <f>1.15*Table1[[#This Row],[القيمة]]</f>
        <v>54786466.600999996</v>
      </c>
      <c r="M27" s="21" t="s">
        <v>269</v>
      </c>
      <c r="N27" s="22">
        <v>47640405.740000002</v>
      </c>
      <c r="O27" s="65"/>
      <c r="P27" s="22"/>
      <c r="Q27" s="22"/>
      <c r="R27" s="8" t="s">
        <v>68</v>
      </c>
      <c r="S27" s="21" t="s">
        <v>246</v>
      </c>
      <c r="T27" s="19" t="s">
        <v>60</v>
      </c>
      <c r="U27" s="19" t="s">
        <v>86</v>
      </c>
      <c r="V27" s="19" t="s">
        <v>86</v>
      </c>
      <c r="W27" s="8" t="s">
        <v>52</v>
      </c>
      <c r="X27" s="19" t="s">
        <v>52</v>
      </c>
      <c r="Y27" s="14">
        <v>43438</v>
      </c>
      <c r="Z27" s="14">
        <v>45666</v>
      </c>
      <c r="AA27" s="14"/>
      <c r="AB27" s="10" t="s">
        <v>246</v>
      </c>
      <c r="AC27" s="10"/>
      <c r="AD27" s="12">
        <f>Table1[[#This Row],[القيمة]]</f>
        <v>47640405.740000002</v>
      </c>
      <c r="AE27" s="8"/>
      <c r="AF27" s="8"/>
      <c r="AG27" s="19" t="s">
        <v>86</v>
      </c>
      <c r="AH27" s="8"/>
      <c r="AI27" s="8"/>
      <c r="AJ27" s="8"/>
      <c r="AK27" s="8"/>
      <c r="AL27" s="8"/>
      <c r="AM27" s="8"/>
      <c r="AN27" s="8"/>
      <c r="AO27" s="8"/>
      <c r="AP27" s="8"/>
      <c r="AQ27" s="8"/>
      <c r="AR27" s="8"/>
      <c r="AS27" s="8"/>
      <c r="AT27" s="54"/>
      <c r="AU27" s="54"/>
    </row>
    <row r="28" spans="1:47" ht="49.95" customHeight="1" x14ac:dyDescent="0.25">
      <c r="A28" s="13">
        <f>SUBTOTAL(3, $J$2:J33)</f>
        <v>32</v>
      </c>
      <c r="C28" s="8" t="s">
        <v>55</v>
      </c>
      <c r="D28" s="8"/>
      <c r="E28" s="8"/>
      <c r="F28" s="8"/>
      <c r="G28" s="8"/>
      <c r="H28" s="8"/>
      <c r="I28" s="8"/>
      <c r="J28" s="8">
        <v>141210023</v>
      </c>
      <c r="K28" s="8" t="s">
        <v>57</v>
      </c>
      <c r="L28" s="9">
        <f>1.15*Table1[[#This Row],[القيمة]]</f>
        <v>74061495.793499991</v>
      </c>
      <c r="M28" s="21" t="s">
        <v>270</v>
      </c>
      <c r="N28" s="22">
        <v>64401300.689999998</v>
      </c>
      <c r="O28" s="65"/>
      <c r="P28" s="22"/>
      <c r="Q28" s="22"/>
      <c r="R28" s="8" t="s">
        <v>68</v>
      </c>
      <c r="S28" s="21" t="s">
        <v>271</v>
      </c>
      <c r="T28" s="19" t="s">
        <v>60</v>
      </c>
      <c r="U28" s="8" t="s">
        <v>86</v>
      </c>
      <c r="V28" s="19" t="s">
        <v>86</v>
      </c>
      <c r="W28" s="8" t="s">
        <v>52</v>
      </c>
      <c r="X28" s="19" t="s">
        <v>52</v>
      </c>
      <c r="Y28" s="14">
        <v>44188</v>
      </c>
      <c r="Z28" s="14">
        <v>45415</v>
      </c>
      <c r="AA28" s="14"/>
      <c r="AB28" s="10" t="s">
        <v>271</v>
      </c>
      <c r="AC28" s="10"/>
      <c r="AD28" s="12">
        <f>Table1[[#This Row],[القيمة]]</f>
        <v>64401300.689999998</v>
      </c>
      <c r="AE28" s="8"/>
      <c r="AF28" s="8"/>
      <c r="AG28" s="8" t="s">
        <v>86</v>
      </c>
      <c r="AH28" s="8"/>
      <c r="AI28" s="8"/>
      <c r="AJ28" s="8"/>
      <c r="AK28" s="8"/>
      <c r="AL28" s="8"/>
      <c r="AM28" s="8"/>
      <c r="AN28" s="8"/>
      <c r="AO28" s="8"/>
      <c r="AP28" s="8"/>
      <c r="AQ28" s="8"/>
      <c r="AR28" s="8"/>
      <c r="AS28" s="8"/>
      <c r="AT28" s="54"/>
      <c r="AU28" s="54"/>
    </row>
    <row r="29" spans="1:47" ht="49.95" customHeight="1" x14ac:dyDescent="0.25">
      <c r="A29" s="8">
        <f>SUBTOTAL(3, $J$2:J29)</f>
        <v>28</v>
      </c>
      <c r="B29" s="8"/>
      <c r="C29" s="8" t="s">
        <v>55</v>
      </c>
      <c r="D29" s="8"/>
      <c r="E29" s="8"/>
      <c r="F29" s="8"/>
      <c r="G29" s="8"/>
      <c r="H29" s="8"/>
      <c r="I29" s="8"/>
      <c r="J29" s="8">
        <v>141210020</v>
      </c>
      <c r="K29" s="8" t="s">
        <v>57</v>
      </c>
      <c r="L29" s="9">
        <f>1.15*Table1[[#This Row],[القيمة]]</f>
        <v>8027459.9999999991</v>
      </c>
      <c r="M29" s="21" t="s">
        <v>272</v>
      </c>
      <c r="N29" s="22">
        <v>6980400</v>
      </c>
      <c r="O29" s="65"/>
      <c r="P29" s="22"/>
      <c r="Q29" s="22"/>
      <c r="R29" s="8" t="s">
        <v>68</v>
      </c>
      <c r="S29" s="21" t="s">
        <v>273</v>
      </c>
      <c r="T29" s="19" t="s">
        <v>60</v>
      </c>
      <c r="U29" s="19" t="s">
        <v>70</v>
      </c>
      <c r="V29" s="19" t="s">
        <v>70</v>
      </c>
      <c r="W29" s="8" t="s">
        <v>52</v>
      </c>
      <c r="X29" s="19" t="s">
        <v>52</v>
      </c>
      <c r="Y29" s="14">
        <v>43760</v>
      </c>
      <c r="Z29" s="14">
        <v>44491</v>
      </c>
      <c r="AA29" s="14"/>
      <c r="AB29" s="10" t="s">
        <v>273</v>
      </c>
      <c r="AC29" s="10"/>
      <c r="AD29" s="12">
        <f>Table1[[#This Row],[القيمة]]</f>
        <v>6980400</v>
      </c>
      <c r="AE29" s="8"/>
      <c r="AF29" s="8"/>
      <c r="AG29" s="19" t="s">
        <v>70</v>
      </c>
      <c r="AH29" s="8"/>
      <c r="AI29" s="8"/>
      <c r="AJ29" s="8"/>
      <c r="AK29" s="8"/>
      <c r="AL29" s="8"/>
      <c r="AM29" s="8"/>
      <c r="AN29" s="8"/>
      <c r="AO29" s="8"/>
      <c r="AP29" s="8"/>
      <c r="AQ29" s="8"/>
      <c r="AR29" s="8"/>
      <c r="AS29" s="8"/>
      <c r="AT29" s="54"/>
      <c r="AU29" s="54"/>
    </row>
    <row r="30" spans="1:47" ht="49.95" customHeight="1" x14ac:dyDescent="0.25">
      <c r="A30" s="8">
        <f>SUBTOTAL(3, $J$2:J30)</f>
        <v>29</v>
      </c>
      <c r="B30" s="8"/>
      <c r="C30" s="8" t="s">
        <v>55</v>
      </c>
      <c r="D30" s="8"/>
      <c r="E30" s="8"/>
      <c r="F30" s="8"/>
      <c r="G30" s="8"/>
      <c r="H30" s="8"/>
      <c r="I30" s="8"/>
      <c r="J30" s="8">
        <v>141210019</v>
      </c>
      <c r="K30" s="8" t="s">
        <v>57</v>
      </c>
      <c r="L30" s="9">
        <f>1.15*Table1[[#This Row],[القيمة]]</f>
        <v>42286695.355999991</v>
      </c>
      <c r="M30" s="21" t="s">
        <v>274</v>
      </c>
      <c r="N30" s="22">
        <v>36771039.439999998</v>
      </c>
      <c r="O30" s="65"/>
      <c r="P30" s="22"/>
      <c r="Q30" s="22"/>
      <c r="R30" s="8" t="s">
        <v>68</v>
      </c>
      <c r="S30" s="21" t="s">
        <v>275</v>
      </c>
      <c r="T30" s="19" t="s">
        <v>60</v>
      </c>
      <c r="U30" s="8" t="s">
        <v>86</v>
      </c>
      <c r="V30" s="19" t="s">
        <v>86</v>
      </c>
      <c r="W30" s="8" t="s">
        <v>52</v>
      </c>
      <c r="X30" s="19" t="s">
        <v>52</v>
      </c>
      <c r="Y30" s="14">
        <v>43907</v>
      </c>
      <c r="Z30" s="14">
        <v>45455</v>
      </c>
      <c r="AA30" s="14"/>
      <c r="AB30" s="10" t="s">
        <v>275</v>
      </c>
      <c r="AC30" s="10"/>
      <c r="AD30" s="12">
        <f>Table1[[#This Row],[القيمة]]</f>
        <v>36771039.439999998</v>
      </c>
      <c r="AE30" s="8"/>
      <c r="AF30" s="8"/>
      <c r="AG30" s="8" t="s">
        <v>86</v>
      </c>
      <c r="AH30" s="8"/>
      <c r="AI30" s="8"/>
      <c r="AJ30" s="8"/>
      <c r="AK30" s="8"/>
      <c r="AL30" s="8"/>
      <c r="AM30" s="8"/>
      <c r="AN30" s="8"/>
      <c r="AO30" s="8"/>
      <c r="AP30" s="8"/>
      <c r="AQ30" s="8"/>
      <c r="AR30" s="8"/>
      <c r="AS30" s="8"/>
      <c r="AT30" s="54"/>
      <c r="AU30" s="54"/>
    </row>
    <row r="31" spans="1:47" ht="49.95" customHeight="1" x14ac:dyDescent="0.25">
      <c r="A31" s="36">
        <f>SUBTOTAL(3, $J$2:J34)</f>
        <v>33</v>
      </c>
      <c r="B31" s="8"/>
      <c r="C31" s="8" t="s">
        <v>55</v>
      </c>
      <c r="D31" s="8"/>
      <c r="E31" s="8"/>
      <c r="F31" s="8"/>
      <c r="G31" s="8"/>
      <c r="H31" s="8"/>
      <c r="I31" s="8"/>
      <c r="J31" s="8">
        <v>141210004</v>
      </c>
      <c r="K31" s="8" t="s">
        <v>57</v>
      </c>
      <c r="L31" s="9">
        <f>1.15*Table1[[#This Row],[القيمة]]</f>
        <v>103273552.34999999</v>
      </c>
      <c r="M31" s="21" t="s">
        <v>276</v>
      </c>
      <c r="N31" s="22">
        <v>89803089</v>
      </c>
      <c r="O31" s="65"/>
      <c r="P31" s="22"/>
      <c r="Q31" s="22"/>
      <c r="R31" s="8" t="s">
        <v>68</v>
      </c>
      <c r="S31" s="21" t="s">
        <v>195</v>
      </c>
      <c r="T31" s="19" t="s">
        <v>60</v>
      </c>
      <c r="U31" s="19" t="s">
        <v>74</v>
      </c>
      <c r="V31" s="19" t="s">
        <v>74</v>
      </c>
      <c r="W31" s="8" t="s">
        <v>52</v>
      </c>
      <c r="X31" s="19" t="s">
        <v>52</v>
      </c>
      <c r="Y31" s="14">
        <v>41261</v>
      </c>
      <c r="Z31" s="14">
        <v>44244</v>
      </c>
      <c r="AA31" s="14"/>
      <c r="AB31" s="10" t="s">
        <v>195</v>
      </c>
      <c r="AC31" s="10"/>
      <c r="AD31" s="12">
        <f>Table1[[#This Row],[القيمة]]</f>
        <v>89803089</v>
      </c>
      <c r="AE31" s="8"/>
      <c r="AF31" s="8"/>
      <c r="AG31" s="19" t="s">
        <v>74</v>
      </c>
      <c r="AH31" s="8"/>
      <c r="AI31" s="8"/>
      <c r="AJ31" s="8"/>
      <c r="AK31" s="8"/>
      <c r="AL31" s="8"/>
      <c r="AM31" s="8"/>
      <c r="AN31" s="8"/>
      <c r="AO31" s="8"/>
      <c r="AP31" s="8"/>
      <c r="AQ31" s="8"/>
      <c r="AR31" s="8"/>
      <c r="AS31" s="8"/>
      <c r="AT31" s="54"/>
      <c r="AU31" s="54"/>
    </row>
    <row r="32" spans="1:47" ht="49.95" customHeight="1" x14ac:dyDescent="0.25">
      <c r="A32" s="36">
        <f>SUBTOTAL(3, $J$2:J35)</f>
        <v>34</v>
      </c>
      <c r="B32" s="8" t="s">
        <v>52</v>
      </c>
      <c r="C32" s="8" t="s">
        <v>55</v>
      </c>
      <c r="D32" s="8"/>
      <c r="E32" s="8"/>
      <c r="F32" s="8"/>
      <c r="G32" s="8"/>
      <c r="H32" s="8"/>
      <c r="I32" s="8"/>
      <c r="J32" s="46">
        <v>131240261</v>
      </c>
      <c r="K32" s="8" t="s">
        <v>47</v>
      </c>
      <c r="L32" s="9">
        <f>1.15*Table1[[#This Row],[القيمة]]</f>
        <v>5113906.25</v>
      </c>
      <c r="M32" s="60" t="s">
        <v>299</v>
      </c>
      <c r="N32" s="49">
        <v>4446875</v>
      </c>
      <c r="O32" s="67"/>
      <c r="P32" s="11"/>
      <c r="Q32" s="49"/>
      <c r="R32" s="46" t="s">
        <v>63</v>
      </c>
      <c r="S32" s="60" t="s">
        <v>282</v>
      </c>
      <c r="T32" s="46" t="s">
        <v>60</v>
      </c>
      <c r="U32" s="46" t="s">
        <v>288</v>
      </c>
      <c r="V32" s="8" t="s">
        <v>289</v>
      </c>
      <c r="W32" s="8" t="s">
        <v>52</v>
      </c>
      <c r="X32" s="19" t="s">
        <v>52</v>
      </c>
      <c r="Y32" s="50" t="s">
        <v>300</v>
      </c>
      <c r="Z32" s="50" t="s">
        <v>301</v>
      </c>
      <c r="AA32" s="14"/>
      <c r="AB32" s="10" t="s">
        <v>282</v>
      </c>
      <c r="AC32" s="10"/>
      <c r="AD32" s="12">
        <f>Table1[[#This Row],[القيمة]]</f>
        <v>4446875</v>
      </c>
      <c r="AE32" s="8"/>
      <c r="AF32" s="8"/>
      <c r="AG32" s="8"/>
      <c r="AH32" s="8" t="s">
        <v>288</v>
      </c>
      <c r="AI32" s="8" t="s">
        <v>114</v>
      </c>
      <c r="AJ32" s="8">
        <v>100</v>
      </c>
      <c r="AK32" s="8">
        <v>64.23</v>
      </c>
      <c r="AL32" s="8"/>
      <c r="AM32" s="8"/>
      <c r="AN32" s="8"/>
      <c r="AO32" s="8">
        <v>0</v>
      </c>
      <c r="AP32" s="8">
        <v>0</v>
      </c>
      <c r="AQ32" s="8"/>
      <c r="AR32" s="8">
        <v>11</v>
      </c>
      <c r="AS32" s="8">
        <v>35.770000000000003</v>
      </c>
      <c r="AT32" s="54"/>
      <c r="AU32" s="54"/>
    </row>
    <row r="33" spans="1:47" ht="49.95" customHeight="1" x14ac:dyDescent="0.25">
      <c r="A33" s="8">
        <f>SUBTOTAL(3, $J$2:J33)</f>
        <v>32</v>
      </c>
      <c r="B33" s="8"/>
      <c r="C33" s="8" t="s">
        <v>55</v>
      </c>
      <c r="D33" s="8"/>
      <c r="E33" s="8"/>
      <c r="F33" s="8"/>
      <c r="G33" s="8"/>
      <c r="H33" s="8"/>
      <c r="I33" s="8"/>
      <c r="J33" s="8">
        <v>131230119</v>
      </c>
      <c r="K33" s="8" t="s">
        <v>57</v>
      </c>
      <c r="L33" s="9">
        <f>1.15*Table1[[#This Row],[القيمة]]</f>
        <v>1954999.9999999998</v>
      </c>
      <c r="M33" s="10" t="s">
        <v>343</v>
      </c>
      <c r="N33" s="11">
        <v>1700000</v>
      </c>
      <c r="O33" s="20"/>
      <c r="P33" s="11"/>
      <c r="Q33" s="11"/>
      <c r="R33" s="8" t="s">
        <v>63</v>
      </c>
      <c r="S33" s="10" t="s">
        <v>287</v>
      </c>
      <c r="T33" s="8" t="s">
        <v>60</v>
      </c>
      <c r="U33" s="8" t="s">
        <v>65</v>
      </c>
      <c r="V33" s="8" t="s">
        <v>65</v>
      </c>
      <c r="W33" s="8" t="s">
        <v>52</v>
      </c>
      <c r="X33" s="19" t="s">
        <v>52</v>
      </c>
      <c r="Y33" s="14">
        <v>45236</v>
      </c>
      <c r="Z33" s="14">
        <v>45558</v>
      </c>
      <c r="AA33" s="14"/>
      <c r="AB33" s="10" t="s">
        <v>287</v>
      </c>
      <c r="AC33" s="10"/>
      <c r="AD33" s="12">
        <f>Table1[[#This Row],[القيمة]]</f>
        <v>1700000</v>
      </c>
      <c r="AE33" s="8"/>
      <c r="AF33" s="8"/>
      <c r="AG33" s="8"/>
      <c r="AH33" s="8" t="s">
        <v>65</v>
      </c>
      <c r="AI33" s="8" t="s">
        <v>114</v>
      </c>
      <c r="AJ33" s="8"/>
      <c r="AK33" s="8"/>
      <c r="AL33" s="8"/>
      <c r="AM33" s="8"/>
      <c r="AN33" s="8"/>
      <c r="AO33" s="8"/>
      <c r="AP33" s="8"/>
      <c r="AQ33" s="8"/>
      <c r="AR33" s="8">
        <v>0</v>
      </c>
      <c r="AS33" s="8"/>
      <c r="AT33" s="54"/>
      <c r="AU33" s="54"/>
    </row>
    <row r="34" spans="1:47" ht="49.95" customHeight="1" x14ac:dyDescent="0.25">
      <c r="A34" s="8">
        <f>SUBTOTAL(3, $J$2:J34)</f>
        <v>33</v>
      </c>
      <c r="B34" s="8" t="s">
        <v>44</v>
      </c>
      <c r="C34" s="8" t="s">
        <v>55</v>
      </c>
      <c r="D34" s="8">
        <v>44.227058999999997</v>
      </c>
      <c r="E34" s="8">
        <v>17.497637000000001</v>
      </c>
      <c r="F34" s="8">
        <v>47825.75</v>
      </c>
      <c r="G34" s="8">
        <v>46928</v>
      </c>
      <c r="H34" s="8" t="s">
        <v>344</v>
      </c>
      <c r="I34" s="8" t="s">
        <v>345</v>
      </c>
      <c r="J34" s="46">
        <v>131230000</v>
      </c>
      <c r="K34" s="8" t="s">
        <v>47</v>
      </c>
      <c r="L34" s="9">
        <f>1.15*Table1[[#This Row],[القيمة]]</f>
        <v>39184431.090999998</v>
      </c>
      <c r="M34" s="60" t="s">
        <v>346</v>
      </c>
      <c r="N34" s="49">
        <v>34073418.340000004</v>
      </c>
      <c r="O34" s="67" t="s">
        <v>347</v>
      </c>
      <c r="P34" s="11" t="s">
        <v>215</v>
      </c>
      <c r="Q34" s="49" t="s">
        <v>63</v>
      </c>
      <c r="R34" s="46" t="s">
        <v>63</v>
      </c>
      <c r="S34" s="60" t="s">
        <v>348</v>
      </c>
      <c r="T34" s="46" t="s">
        <v>60</v>
      </c>
      <c r="U34" s="46" t="s">
        <v>65</v>
      </c>
      <c r="V34" s="8" t="s">
        <v>65</v>
      </c>
      <c r="W34" s="8" t="s">
        <v>52</v>
      </c>
      <c r="X34" s="19" t="s">
        <v>52</v>
      </c>
      <c r="Y34" s="50">
        <v>45050</v>
      </c>
      <c r="Z34" s="50">
        <v>46024</v>
      </c>
      <c r="AA34" s="8"/>
      <c r="AB34" s="10" t="s">
        <v>348</v>
      </c>
      <c r="AC34" s="10" t="s">
        <v>90</v>
      </c>
      <c r="AD34" s="12">
        <f>Table1[[#This Row],[القيمة]]</f>
        <v>34073418.340000004</v>
      </c>
      <c r="AE34" s="8"/>
      <c r="AF34" s="8"/>
      <c r="AG34" s="8"/>
      <c r="AH34" s="46" t="s">
        <v>65</v>
      </c>
      <c r="AI34" s="8" t="s">
        <v>60</v>
      </c>
      <c r="AJ34" s="8">
        <v>100</v>
      </c>
      <c r="AK34" s="8">
        <v>93.36</v>
      </c>
      <c r="AL34" s="8">
        <v>6.64</v>
      </c>
      <c r="AM34" s="8" t="s">
        <v>52</v>
      </c>
      <c r="AN34" s="8" t="s">
        <v>52</v>
      </c>
      <c r="AO34" s="8">
        <v>0</v>
      </c>
      <c r="AP34" s="8">
        <v>0</v>
      </c>
      <c r="AQ34" s="8"/>
      <c r="AR34" s="8">
        <v>0</v>
      </c>
      <c r="AS34" s="8">
        <v>6.64</v>
      </c>
      <c r="AT34" s="54"/>
      <c r="AU34" s="54"/>
    </row>
    <row r="35" spans="1:47" ht="49.95" customHeight="1" x14ac:dyDescent="0.25">
      <c r="A35" s="8">
        <f>SUBTOTAL(3, $J$2:J35)</f>
        <v>34</v>
      </c>
      <c r="B35" s="8"/>
      <c r="C35" s="8" t="s">
        <v>55</v>
      </c>
      <c r="D35" s="8"/>
      <c r="E35" s="8"/>
      <c r="F35" s="8"/>
      <c r="G35" s="8"/>
      <c r="H35" s="8"/>
      <c r="I35" s="8"/>
      <c r="J35" s="8">
        <v>131210067</v>
      </c>
      <c r="K35" s="8" t="s">
        <v>57</v>
      </c>
      <c r="L35" s="9">
        <f>1.15*Table1[[#This Row],[القيمة]]</f>
        <v>11314904.762999998</v>
      </c>
      <c r="M35" s="10" t="s">
        <v>349</v>
      </c>
      <c r="N35" s="11">
        <v>9839047.6199999992</v>
      </c>
      <c r="O35" s="20"/>
      <c r="P35" s="11"/>
      <c r="Q35" s="11"/>
      <c r="R35" s="8" t="s">
        <v>63</v>
      </c>
      <c r="S35" s="10" t="s">
        <v>350</v>
      </c>
      <c r="T35" s="8" t="s">
        <v>60</v>
      </c>
      <c r="U35" s="8" t="s">
        <v>296</v>
      </c>
      <c r="V35" s="13" t="s">
        <v>296</v>
      </c>
      <c r="W35" s="8" t="s">
        <v>52</v>
      </c>
      <c r="X35" s="19" t="s">
        <v>52</v>
      </c>
      <c r="Y35" s="14">
        <v>44005</v>
      </c>
      <c r="Z35" s="14">
        <v>45391</v>
      </c>
      <c r="AA35" s="14"/>
      <c r="AB35" s="10" t="s">
        <v>350</v>
      </c>
      <c r="AC35" s="10"/>
      <c r="AD35" s="12">
        <f>Table1[[#This Row],[القيمة]]</f>
        <v>9839047.6199999992</v>
      </c>
      <c r="AE35" s="8"/>
      <c r="AF35" s="8"/>
      <c r="AG35" s="8"/>
      <c r="AH35" s="13" t="s">
        <v>296</v>
      </c>
      <c r="AI35" s="8"/>
      <c r="AJ35" s="8"/>
      <c r="AK35" s="8"/>
      <c r="AL35" s="8"/>
      <c r="AM35" s="8"/>
      <c r="AN35" s="8"/>
      <c r="AO35" s="8"/>
      <c r="AP35" s="8"/>
      <c r="AQ35" s="8"/>
      <c r="AR35" s="8"/>
      <c r="AS35" s="8"/>
      <c r="AT35" s="54"/>
      <c r="AU35" s="54"/>
    </row>
    <row r="36" spans="1:47" ht="49.95" customHeight="1" x14ac:dyDescent="0.25">
      <c r="A36" s="8">
        <f>SUBTOTAL(3, $J$2:J36)</f>
        <v>35</v>
      </c>
      <c r="B36" s="8"/>
      <c r="C36" s="8" t="s">
        <v>55</v>
      </c>
      <c r="D36" s="8"/>
      <c r="E36" s="8"/>
      <c r="F36" s="8"/>
      <c r="G36" s="8"/>
      <c r="H36" s="8"/>
      <c r="I36" s="8"/>
      <c r="J36" s="8">
        <v>131210058</v>
      </c>
      <c r="K36" s="8" t="s">
        <v>57</v>
      </c>
      <c r="L36" s="9">
        <f>1.15*Table1[[#This Row],[القيمة]]</f>
        <v>28476434.549999997</v>
      </c>
      <c r="M36" s="10" t="s">
        <v>351</v>
      </c>
      <c r="N36" s="11">
        <v>24762117</v>
      </c>
      <c r="O36" s="20"/>
      <c r="P36" s="11"/>
      <c r="Q36" s="11"/>
      <c r="R36" s="8" t="s">
        <v>63</v>
      </c>
      <c r="S36" s="10" t="s">
        <v>348</v>
      </c>
      <c r="T36" s="8" t="s">
        <v>60</v>
      </c>
      <c r="U36" s="8" t="s">
        <v>296</v>
      </c>
      <c r="V36" s="13" t="s">
        <v>296</v>
      </c>
      <c r="W36" s="8" t="s">
        <v>52</v>
      </c>
      <c r="X36" s="19" t="s">
        <v>52</v>
      </c>
      <c r="Y36" s="14">
        <v>44335</v>
      </c>
      <c r="Z36" s="14">
        <v>45265</v>
      </c>
      <c r="AA36" s="14"/>
      <c r="AB36" s="10" t="s">
        <v>348</v>
      </c>
      <c r="AC36" s="10"/>
      <c r="AD36" s="12">
        <f>Table1[[#This Row],[القيمة]]</f>
        <v>24762117</v>
      </c>
      <c r="AE36" s="8"/>
      <c r="AF36" s="8"/>
      <c r="AG36" s="8"/>
      <c r="AH36" s="13" t="s">
        <v>296</v>
      </c>
      <c r="AI36" s="8"/>
      <c r="AJ36" s="8"/>
      <c r="AK36" s="8"/>
      <c r="AL36" s="8"/>
      <c r="AM36" s="8"/>
      <c r="AN36" s="8"/>
      <c r="AO36" s="8"/>
      <c r="AP36" s="8"/>
      <c r="AQ36" s="8"/>
      <c r="AR36" s="8"/>
      <c r="AS36" s="8"/>
      <c r="AT36" s="54"/>
      <c r="AU36" s="54"/>
    </row>
    <row r="37" spans="1:47" ht="49.95" customHeight="1" x14ac:dyDescent="0.25">
      <c r="A37" s="8">
        <f>SUBTOTAL(3, $J$2:J37)</f>
        <v>36</v>
      </c>
      <c r="B37" s="8" t="s">
        <v>44</v>
      </c>
      <c r="C37" s="8" t="s">
        <v>55</v>
      </c>
      <c r="D37" s="8">
        <v>44.248466000000001</v>
      </c>
      <c r="E37" s="8">
        <v>17.533577000000001</v>
      </c>
      <c r="F37" s="8">
        <v>39439</v>
      </c>
      <c r="G37" s="8">
        <v>39476</v>
      </c>
      <c r="H37" s="8" t="s">
        <v>352</v>
      </c>
      <c r="I37" s="8" t="s">
        <v>353</v>
      </c>
      <c r="J37" s="46">
        <v>131210056</v>
      </c>
      <c r="K37" s="8" t="s">
        <v>47</v>
      </c>
      <c r="L37" s="9">
        <f>1.15*Table1[[#This Row],[القيمة]]</f>
        <v>94500741.814999983</v>
      </c>
      <c r="M37" s="60" t="s">
        <v>354</v>
      </c>
      <c r="N37" s="49">
        <v>82174558.099999994</v>
      </c>
      <c r="O37" s="67" t="s">
        <v>355</v>
      </c>
      <c r="P37" s="11" t="s">
        <v>215</v>
      </c>
      <c r="Q37" s="49" t="s">
        <v>63</v>
      </c>
      <c r="R37" s="46" t="s">
        <v>63</v>
      </c>
      <c r="S37" s="60" t="s">
        <v>287</v>
      </c>
      <c r="T37" s="46" t="s">
        <v>60</v>
      </c>
      <c r="U37" s="46" t="s">
        <v>288</v>
      </c>
      <c r="V37" s="8" t="s">
        <v>289</v>
      </c>
      <c r="W37" s="8" t="s">
        <v>52</v>
      </c>
      <c r="X37" s="19" t="s">
        <v>52</v>
      </c>
      <c r="Y37" s="50">
        <v>43751</v>
      </c>
      <c r="Z37" s="50">
        <v>46128</v>
      </c>
      <c r="AA37" s="8"/>
      <c r="AB37" s="10" t="s">
        <v>287</v>
      </c>
      <c r="AC37" s="10" t="s">
        <v>90</v>
      </c>
      <c r="AD37" s="12">
        <f>Table1[[#This Row],[القيمة]]</f>
        <v>82174558.099999994</v>
      </c>
      <c r="AE37" s="8"/>
      <c r="AF37" s="8"/>
      <c r="AG37" s="8"/>
      <c r="AH37" s="8" t="s">
        <v>288</v>
      </c>
      <c r="AI37" s="8" t="s">
        <v>114</v>
      </c>
      <c r="AJ37" s="8">
        <v>100</v>
      </c>
      <c r="AK37" s="8">
        <v>99.66</v>
      </c>
      <c r="AL37" s="8">
        <v>0.34</v>
      </c>
      <c r="AM37" s="8" t="s">
        <v>52</v>
      </c>
      <c r="AN37" s="8" t="s">
        <v>52</v>
      </c>
      <c r="AO37" s="8">
        <v>0</v>
      </c>
      <c r="AP37" s="8">
        <v>1</v>
      </c>
      <c r="AQ37" s="8"/>
      <c r="AR37" s="8">
        <v>6</v>
      </c>
      <c r="AS37" s="8">
        <v>0.34</v>
      </c>
      <c r="AT37" s="54"/>
      <c r="AU37" s="54"/>
    </row>
    <row r="38" spans="1:47" ht="49.95" customHeight="1" x14ac:dyDescent="0.25">
      <c r="A38" s="8">
        <f>SUBTOTAL(3, $J$2:J38)</f>
        <v>37</v>
      </c>
      <c r="B38" s="8"/>
      <c r="C38" s="8" t="s">
        <v>55</v>
      </c>
      <c r="D38" s="8"/>
      <c r="E38" s="8"/>
      <c r="F38" s="8"/>
      <c r="G38" s="8"/>
      <c r="H38" s="8"/>
      <c r="I38" s="8"/>
      <c r="J38" s="8">
        <v>121250343</v>
      </c>
      <c r="K38" s="8" t="s">
        <v>47</v>
      </c>
      <c r="L38" s="9">
        <f>1.15*Table1[[#This Row],[القيمة]]</f>
        <v>960077.49999999988</v>
      </c>
      <c r="M38" s="10" t="s">
        <v>381</v>
      </c>
      <c r="N38" s="11">
        <v>834850</v>
      </c>
      <c r="O38" s="20"/>
      <c r="P38" s="11"/>
      <c r="Q38" s="11"/>
      <c r="R38" s="8" t="s">
        <v>49</v>
      </c>
      <c r="S38" s="10" t="s">
        <v>371</v>
      </c>
      <c r="T38" s="8" t="s">
        <v>60</v>
      </c>
      <c r="U38" s="8" t="s">
        <v>358</v>
      </c>
      <c r="V38" s="8" t="s">
        <v>372</v>
      </c>
      <c r="W38" s="92" t="s">
        <v>52</v>
      </c>
      <c r="X38" s="19" t="s">
        <v>52</v>
      </c>
      <c r="Y38" s="14" t="s">
        <v>382</v>
      </c>
      <c r="Z38" s="14">
        <v>46055</v>
      </c>
      <c r="AA38" s="8"/>
      <c r="AB38" s="10" t="s">
        <v>371</v>
      </c>
      <c r="AC38" s="10" t="s">
        <v>91</v>
      </c>
      <c r="AD38" s="12">
        <f>Table1[[#This Row],[القيمة]]</f>
        <v>834850</v>
      </c>
      <c r="AE38" s="8"/>
      <c r="AF38" s="8" t="s">
        <v>358</v>
      </c>
      <c r="AG38" s="8"/>
      <c r="AH38" s="8"/>
      <c r="AI38" s="8"/>
      <c r="AJ38" s="8"/>
      <c r="AK38" s="8"/>
      <c r="AL38" s="8"/>
      <c r="AM38" s="8"/>
      <c r="AN38" s="8"/>
      <c r="AO38" s="8"/>
      <c r="AP38" s="8"/>
      <c r="AQ38" s="8"/>
      <c r="AR38" s="8"/>
      <c r="AS38" s="8"/>
      <c r="AT38" s="54"/>
      <c r="AU38" s="54"/>
    </row>
    <row r="39" spans="1:47" ht="49.95" customHeight="1" x14ac:dyDescent="0.25">
      <c r="A39" s="8">
        <f>SUBTOTAL(3, $J$2:J39)</f>
        <v>38</v>
      </c>
      <c r="B39" s="8"/>
      <c r="C39" s="8" t="s">
        <v>55</v>
      </c>
      <c r="D39" s="8"/>
      <c r="E39" s="8"/>
      <c r="F39" s="8"/>
      <c r="G39" s="8"/>
      <c r="H39" s="8"/>
      <c r="I39" s="8"/>
      <c r="J39" s="8">
        <v>121250203</v>
      </c>
      <c r="K39" s="8" t="s">
        <v>47</v>
      </c>
      <c r="L39" s="9">
        <f>1.15*Table1[[#This Row],[القيمة]]</f>
        <v>2300431.25</v>
      </c>
      <c r="M39" s="10" t="s">
        <v>420</v>
      </c>
      <c r="N39" s="11">
        <v>2000375</v>
      </c>
      <c r="O39" s="20"/>
      <c r="P39" s="11"/>
      <c r="Q39" s="11"/>
      <c r="R39" s="8" t="s">
        <v>49</v>
      </c>
      <c r="S39" s="10" t="s">
        <v>306</v>
      </c>
      <c r="T39" s="8" t="s">
        <v>60</v>
      </c>
      <c r="U39" s="8" t="s">
        <v>51</v>
      </c>
      <c r="V39" s="8" t="s">
        <v>51</v>
      </c>
      <c r="W39" s="8" t="s">
        <v>52</v>
      </c>
      <c r="X39" s="19" t="s">
        <v>52</v>
      </c>
      <c r="Y39" s="14" t="s">
        <v>421</v>
      </c>
      <c r="Z39" s="14" t="s">
        <v>422</v>
      </c>
      <c r="AA39" s="14"/>
      <c r="AB39" s="10" t="s">
        <v>306</v>
      </c>
      <c r="AC39" s="10"/>
      <c r="AD39" s="12">
        <f>Table1[[#This Row],[القيمة]]</f>
        <v>2000375</v>
      </c>
      <c r="AE39" s="8"/>
      <c r="AF39" s="8" t="s">
        <v>51</v>
      </c>
      <c r="AG39" s="8"/>
      <c r="AH39" s="8"/>
      <c r="AI39" s="8" t="s">
        <v>114</v>
      </c>
      <c r="AJ39" s="8"/>
      <c r="AK39" s="8"/>
      <c r="AL39" s="8"/>
      <c r="AM39" s="8"/>
      <c r="AN39" s="8"/>
      <c r="AO39" s="8"/>
      <c r="AP39" s="8"/>
      <c r="AQ39" s="8"/>
      <c r="AR39" s="8">
        <v>0</v>
      </c>
      <c r="AS39" s="8"/>
      <c r="AT39" s="54"/>
      <c r="AU39" s="54"/>
    </row>
    <row r="40" spans="1:47" ht="49.95" customHeight="1" x14ac:dyDescent="0.25">
      <c r="A40" s="8">
        <f>SUBTOTAL(3, $J$2:J40)</f>
        <v>39</v>
      </c>
      <c r="B40" s="8" t="s">
        <v>126</v>
      </c>
      <c r="C40" s="8" t="s">
        <v>55</v>
      </c>
      <c r="D40" s="8">
        <v>42.250703899999998</v>
      </c>
      <c r="E40" s="8">
        <v>17.728141999999998</v>
      </c>
      <c r="F40" s="8">
        <v>4700</v>
      </c>
      <c r="G40" s="8">
        <v>4432</v>
      </c>
      <c r="H40" s="8" t="s">
        <v>429</v>
      </c>
      <c r="I40" s="8" t="s">
        <v>430</v>
      </c>
      <c r="J40" s="8">
        <v>121250152</v>
      </c>
      <c r="K40" s="8" t="s">
        <v>47</v>
      </c>
      <c r="L40" s="9">
        <f>1.15*Table1[[#This Row],[القيمة]]</f>
        <v>5813365</v>
      </c>
      <c r="M40" s="10" t="s">
        <v>431</v>
      </c>
      <c r="N40" s="11">
        <v>5055100</v>
      </c>
      <c r="O40" s="20" t="s">
        <v>432</v>
      </c>
      <c r="P40" s="11" t="s">
        <v>426</v>
      </c>
      <c r="Q40" s="11" t="s">
        <v>433</v>
      </c>
      <c r="R40" s="8" t="s">
        <v>49</v>
      </c>
      <c r="S40" s="10" t="s">
        <v>434</v>
      </c>
      <c r="T40" s="8" t="s">
        <v>60</v>
      </c>
      <c r="U40" s="8" t="s">
        <v>51</v>
      </c>
      <c r="V40" s="8" t="s">
        <v>51</v>
      </c>
      <c r="W40" s="8" t="s">
        <v>52</v>
      </c>
      <c r="X40" s="19" t="s">
        <v>52</v>
      </c>
      <c r="Y40" s="14">
        <v>45848</v>
      </c>
      <c r="Z40" s="14">
        <v>46120</v>
      </c>
      <c r="AA40" s="8"/>
      <c r="AB40" s="10" t="s">
        <v>435</v>
      </c>
      <c r="AC40" s="10" t="s">
        <v>91</v>
      </c>
      <c r="AD40" s="12">
        <f>Table1[[#This Row],[القيمة]]</f>
        <v>5055100</v>
      </c>
      <c r="AE40" s="8"/>
      <c r="AF40" s="8" t="s">
        <v>51</v>
      </c>
      <c r="AG40" s="8"/>
      <c r="AH40" s="8"/>
      <c r="AI40" s="8" t="s">
        <v>298</v>
      </c>
      <c r="AJ40" s="8">
        <v>100</v>
      </c>
      <c r="AK40" s="8">
        <v>65.94</v>
      </c>
      <c r="AL40" s="8">
        <v>34.06</v>
      </c>
      <c r="AM40" s="8" t="s">
        <v>52</v>
      </c>
      <c r="AN40" s="8" t="s">
        <v>52</v>
      </c>
      <c r="AO40" s="8">
        <v>0</v>
      </c>
      <c r="AP40" s="8">
        <v>0</v>
      </c>
      <c r="AQ40" s="8"/>
      <c r="AR40" s="8">
        <v>0</v>
      </c>
      <c r="AS40" s="8">
        <v>34.06</v>
      </c>
      <c r="AT40" s="54"/>
      <c r="AU40" s="54"/>
    </row>
    <row r="41" spans="1:47" ht="49.95" customHeight="1" x14ac:dyDescent="0.25">
      <c r="A41" s="8">
        <f>SUBTOTAL(3, $J$2:J41)</f>
        <v>40</v>
      </c>
      <c r="B41" s="8" t="s">
        <v>52</v>
      </c>
      <c r="C41" s="8" t="s">
        <v>55</v>
      </c>
      <c r="D41" s="8"/>
      <c r="E41" s="8"/>
      <c r="F41" s="8"/>
      <c r="G41" s="8"/>
      <c r="H41" s="8"/>
      <c r="I41" s="8"/>
      <c r="J41" s="8">
        <v>121240301</v>
      </c>
      <c r="K41" s="8" t="s">
        <v>47</v>
      </c>
      <c r="L41" s="9">
        <f>1.15*Table1[[#This Row],[القيمة]]</f>
        <v>6881139.9999999991</v>
      </c>
      <c r="M41" s="10" t="s">
        <v>499</v>
      </c>
      <c r="N41" s="11">
        <v>5983600</v>
      </c>
      <c r="O41" s="20"/>
      <c r="P41" s="11"/>
      <c r="Q41" s="11"/>
      <c r="R41" s="8" t="s">
        <v>49</v>
      </c>
      <c r="S41" s="10" t="s">
        <v>500</v>
      </c>
      <c r="T41" s="8" t="s">
        <v>60</v>
      </c>
      <c r="U41" s="8" t="s">
        <v>380</v>
      </c>
      <c r="V41" s="8" t="s">
        <v>380</v>
      </c>
      <c r="W41" s="8" t="s">
        <v>52</v>
      </c>
      <c r="X41" s="19" t="s">
        <v>52</v>
      </c>
      <c r="Y41" s="14" t="s">
        <v>501</v>
      </c>
      <c r="Z41" s="14" t="s">
        <v>502</v>
      </c>
      <c r="AA41" s="14"/>
      <c r="AB41" s="10" t="s">
        <v>500</v>
      </c>
      <c r="AC41" s="10"/>
      <c r="AD41" s="12">
        <f>Table1[[#This Row],[القيمة]]</f>
        <v>5983600</v>
      </c>
      <c r="AE41" s="8"/>
      <c r="AF41" s="8" t="s">
        <v>380</v>
      </c>
      <c r="AG41" s="8"/>
      <c r="AH41" s="8"/>
      <c r="AI41" s="8"/>
      <c r="AJ41" s="8">
        <v>100</v>
      </c>
      <c r="AK41" s="8">
        <v>96.55</v>
      </c>
      <c r="AL41" s="8"/>
      <c r="AM41" s="8"/>
      <c r="AN41" s="8"/>
      <c r="AO41" s="8">
        <v>0</v>
      </c>
      <c r="AP41" s="8">
        <v>4</v>
      </c>
      <c r="AQ41" s="8"/>
      <c r="AR41" s="8">
        <v>0</v>
      </c>
      <c r="AS41" s="8">
        <v>3.45</v>
      </c>
      <c r="AT41" s="54"/>
      <c r="AU41" s="54"/>
    </row>
    <row r="42" spans="1:47" ht="49.95" customHeight="1" x14ac:dyDescent="0.25">
      <c r="A42" s="8">
        <f>SUBTOTAL(3, $J$2:J42)</f>
        <v>41</v>
      </c>
      <c r="B42" s="8" t="s">
        <v>52</v>
      </c>
      <c r="C42" s="8" t="s">
        <v>55</v>
      </c>
      <c r="D42" s="8"/>
      <c r="E42" s="8"/>
      <c r="F42" s="8"/>
      <c r="G42" s="8"/>
      <c r="H42" s="8"/>
      <c r="I42" s="8"/>
      <c r="J42" s="8">
        <v>121240230</v>
      </c>
      <c r="K42" s="8" t="s">
        <v>47</v>
      </c>
      <c r="L42" s="9">
        <f>1.15*Table1[[#This Row],[القيمة]]</f>
        <v>8302991.9499999993</v>
      </c>
      <c r="M42" s="10" t="s">
        <v>521</v>
      </c>
      <c r="N42" s="11">
        <v>7219993</v>
      </c>
      <c r="O42" s="20"/>
      <c r="P42" s="11"/>
      <c r="Q42" s="11"/>
      <c r="R42" s="8" t="s">
        <v>49</v>
      </c>
      <c r="S42" s="10" t="s">
        <v>435</v>
      </c>
      <c r="T42" s="8" t="s">
        <v>60</v>
      </c>
      <c r="U42" s="8" t="s">
        <v>380</v>
      </c>
      <c r="V42" s="8" t="s">
        <v>380</v>
      </c>
      <c r="W42" s="8" t="s">
        <v>52</v>
      </c>
      <c r="X42" s="19" t="s">
        <v>52</v>
      </c>
      <c r="Y42" s="14" t="s">
        <v>522</v>
      </c>
      <c r="Z42" s="14" t="s">
        <v>523</v>
      </c>
      <c r="AA42" s="14"/>
      <c r="AB42" s="10" t="s">
        <v>435</v>
      </c>
      <c r="AC42" s="10"/>
      <c r="AD42" s="12">
        <f>Table1[[#This Row],[القيمة]]</f>
        <v>7219993</v>
      </c>
      <c r="AE42" s="8"/>
      <c r="AF42" s="97" t="s">
        <v>380</v>
      </c>
      <c r="AG42" s="8"/>
      <c r="AH42" s="8"/>
      <c r="AI42" s="8"/>
      <c r="AJ42" s="8">
        <v>98.35</v>
      </c>
      <c r="AK42" s="8">
        <v>91.02</v>
      </c>
      <c r="AL42" s="8"/>
      <c r="AM42" s="8"/>
      <c r="AN42" s="8"/>
      <c r="AO42" s="8">
        <v>0</v>
      </c>
      <c r="AP42" s="8">
        <v>0</v>
      </c>
      <c r="AQ42" s="8"/>
      <c r="AR42" s="8">
        <v>0</v>
      </c>
      <c r="AS42" s="8">
        <v>7.33</v>
      </c>
      <c r="AT42" s="54"/>
      <c r="AU42" s="54"/>
    </row>
    <row r="43" spans="1:47" ht="49.95" customHeight="1" x14ac:dyDescent="0.25">
      <c r="A43" s="8">
        <f>SUBTOTAL(3, $J$2:J43)</f>
        <v>42</v>
      </c>
      <c r="B43" s="8"/>
      <c r="C43" s="8" t="s">
        <v>55</v>
      </c>
      <c r="D43" s="8"/>
      <c r="E43" s="8"/>
      <c r="F43" s="8"/>
      <c r="G43" s="8"/>
      <c r="H43" s="8"/>
      <c r="I43" s="8"/>
      <c r="J43" s="8">
        <v>121220042</v>
      </c>
      <c r="K43" s="8" t="s">
        <v>57</v>
      </c>
      <c r="L43" s="9">
        <f>1.15*Table1[[#This Row],[القيمة]]</f>
        <v>25743076.381499998</v>
      </c>
      <c r="M43" s="10" t="s">
        <v>553</v>
      </c>
      <c r="N43" s="11">
        <v>22385283.809999999</v>
      </c>
      <c r="O43" s="20"/>
      <c r="P43" s="11"/>
      <c r="Q43" s="11"/>
      <c r="R43" s="8" t="s">
        <v>49</v>
      </c>
      <c r="S43" s="10" t="s">
        <v>50</v>
      </c>
      <c r="T43" s="8" t="s">
        <v>60</v>
      </c>
      <c r="U43" s="8" t="s">
        <v>380</v>
      </c>
      <c r="V43" s="8" t="s">
        <v>380</v>
      </c>
      <c r="W43" s="8" t="s">
        <v>52</v>
      </c>
      <c r="X43" s="19" t="s">
        <v>52</v>
      </c>
      <c r="Y43" s="14" t="s">
        <v>554</v>
      </c>
      <c r="Z43" s="14" t="s">
        <v>555</v>
      </c>
      <c r="AA43" s="14"/>
      <c r="AB43" s="10" t="s">
        <v>50</v>
      </c>
      <c r="AC43" s="10"/>
      <c r="AD43" s="12">
        <f>Table1[[#This Row],[القيمة]]</f>
        <v>22385283.809999999</v>
      </c>
      <c r="AE43" s="8"/>
      <c r="AF43" s="8" t="s">
        <v>380</v>
      </c>
      <c r="AG43" s="8"/>
      <c r="AH43" s="8"/>
      <c r="AI43" s="8"/>
      <c r="AJ43" s="8"/>
      <c r="AK43" s="8"/>
      <c r="AL43" s="8"/>
      <c r="AM43" s="8"/>
      <c r="AN43" s="8"/>
      <c r="AO43" s="8"/>
      <c r="AP43" s="8"/>
      <c r="AQ43" s="8"/>
      <c r="AR43" s="8"/>
      <c r="AS43" s="8"/>
      <c r="AT43" s="54"/>
      <c r="AU43" s="54"/>
    </row>
    <row r="44" spans="1:47" ht="49.95" customHeight="1" x14ac:dyDescent="0.25">
      <c r="A44" s="8">
        <f>SUBTOTAL(3, $J$2:J44)</f>
        <v>43</v>
      </c>
      <c r="B44" s="8"/>
      <c r="C44" s="8" t="s">
        <v>55</v>
      </c>
      <c r="D44" s="8"/>
      <c r="E44" s="8"/>
      <c r="F44" s="8"/>
      <c r="G44" s="8"/>
      <c r="H44" s="8"/>
      <c r="I44" s="8"/>
      <c r="J44" s="8">
        <v>121220038</v>
      </c>
      <c r="K44" s="8" t="s">
        <v>57</v>
      </c>
      <c r="L44" s="9">
        <f>1.15*Table1[[#This Row],[القيمة]]</f>
        <v>65475663.999999993</v>
      </c>
      <c r="M44" s="10" t="s">
        <v>556</v>
      </c>
      <c r="N44" s="11">
        <v>56935360</v>
      </c>
      <c r="O44" s="20"/>
      <c r="P44" s="11"/>
      <c r="Q44" s="11"/>
      <c r="R44" s="8" t="s">
        <v>49</v>
      </c>
      <c r="S44" s="10" t="s">
        <v>401</v>
      </c>
      <c r="T44" s="8" t="s">
        <v>60</v>
      </c>
      <c r="U44" s="8" t="s">
        <v>380</v>
      </c>
      <c r="V44" s="8" t="s">
        <v>380</v>
      </c>
      <c r="W44" s="8" t="s">
        <v>52</v>
      </c>
      <c r="X44" s="19" t="s">
        <v>52</v>
      </c>
      <c r="Y44" s="14" t="s">
        <v>557</v>
      </c>
      <c r="Z44" s="14" t="s">
        <v>558</v>
      </c>
      <c r="AA44" s="14"/>
      <c r="AB44" s="10" t="s">
        <v>401</v>
      </c>
      <c r="AC44" s="10"/>
      <c r="AD44" s="12">
        <f>Table1[[#This Row],[القيمة]]</f>
        <v>56935360</v>
      </c>
      <c r="AE44" s="8"/>
      <c r="AF44" s="8" t="s">
        <v>380</v>
      </c>
      <c r="AG44" s="8"/>
      <c r="AH44" s="8"/>
      <c r="AI44" s="8"/>
      <c r="AJ44" s="8"/>
      <c r="AK44" s="8"/>
      <c r="AL44" s="8"/>
      <c r="AM44" s="8"/>
      <c r="AN44" s="8"/>
      <c r="AO44" s="8"/>
      <c r="AP44" s="8"/>
      <c r="AQ44" s="8"/>
      <c r="AR44" s="8"/>
      <c r="AS44" s="8"/>
      <c r="AT44" s="54"/>
      <c r="AU44" s="54"/>
    </row>
    <row r="45" spans="1:47" ht="49.95" customHeight="1" x14ac:dyDescent="0.25">
      <c r="A45" s="8">
        <f>SUBTOTAL(3, $J$2:J45)</f>
        <v>44</v>
      </c>
      <c r="B45" s="8" t="s">
        <v>91</v>
      </c>
      <c r="C45" s="8" t="s">
        <v>55</v>
      </c>
      <c r="D45" s="8">
        <v>42.980592000000001</v>
      </c>
      <c r="E45" s="8">
        <v>17.2019865</v>
      </c>
      <c r="F45" s="8">
        <v>9500</v>
      </c>
      <c r="G45" s="8">
        <v>8955</v>
      </c>
      <c r="H45" s="8" t="s">
        <v>559</v>
      </c>
      <c r="I45" s="8" t="s">
        <v>560</v>
      </c>
      <c r="J45" s="8">
        <v>121210109</v>
      </c>
      <c r="K45" s="8" t="s">
        <v>47</v>
      </c>
      <c r="L45" s="9">
        <f>1.15*Table1[[#This Row],[القيمة]]</f>
        <v>30354410.999999996</v>
      </c>
      <c r="M45" s="10" t="s">
        <v>561</v>
      </c>
      <c r="N45" s="11">
        <v>26395140</v>
      </c>
      <c r="O45" s="20" t="s">
        <v>562</v>
      </c>
      <c r="P45" s="11" t="s">
        <v>238</v>
      </c>
      <c r="Q45" s="11" t="s">
        <v>131</v>
      </c>
      <c r="R45" s="8" t="s">
        <v>49</v>
      </c>
      <c r="S45" s="10" t="s">
        <v>563</v>
      </c>
      <c r="T45" s="8" t="s">
        <v>60</v>
      </c>
      <c r="U45" s="8" t="s">
        <v>380</v>
      </c>
      <c r="V45" s="8" t="s">
        <v>380</v>
      </c>
      <c r="W45" s="8" t="s">
        <v>52</v>
      </c>
      <c r="X45" s="19" t="s">
        <v>52</v>
      </c>
      <c r="Y45" s="14">
        <v>44096</v>
      </c>
      <c r="Z45" s="14">
        <v>46017</v>
      </c>
      <c r="AA45" s="8"/>
      <c r="AB45" s="10" t="s">
        <v>50</v>
      </c>
      <c r="AC45" s="10" t="s">
        <v>91</v>
      </c>
      <c r="AD45" s="12">
        <f>Table1[[#This Row],[القيمة]]</f>
        <v>26395140</v>
      </c>
      <c r="AE45" s="8"/>
      <c r="AF45" s="8" t="s">
        <v>380</v>
      </c>
      <c r="AG45" s="8"/>
      <c r="AH45" s="8"/>
      <c r="AI45" s="8" t="s">
        <v>114</v>
      </c>
      <c r="AJ45" s="8">
        <v>100</v>
      </c>
      <c r="AK45" s="8">
        <v>84.52</v>
      </c>
      <c r="AL45" s="8">
        <v>15.48</v>
      </c>
      <c r="AM45" s="8" t="s">
        <v>175</v>
      </c>
      <c r="AN45" s="8" t="s">
        <v>175</v>
      </c>
      <c r="AO45" s="8">
        <v>0</v>
      </c>
      <c r="AP45" s="8">
        <v>2</v>
      </c>
      <c r="AQ45" s="8"/>
      <c r="AR45" s="8">
        <v>0</v>
      </c>
      <c r="AS45" s="8">
        <v>15.48</v>
      </c>
      <c r="AT45" s="54"/>
      <c r="AU45" s="54"/>
    </row>
    <row r="46" spans="1:47" ht="49.95" customHeight="1" x14ac:dyDescent="0.25">
      <c r="A46" s="8">
        <f>SUBTOTAL(3, $J$2:J46)</f>
        <v>45</v>
      </c>
      <c r="B46" s="8"/>
      <c r="C46" s="8" t="s">
        <v>55</v>
      </c>
      <c r="D46" s="8"/>
      <c r="E46" s="8"/>
      <c r="F46" s="8"/>
      <c r="G46" s="8"/>
      <c r="H46" s="8"/>
      <c r="I46" s="8"/>
      <c r="J46" s="8">
        <v>121210090</v>
      </c>
      <c r="K46" s="8" t="s">
        <v>57</v>
      </c>
      <c r="L46" s="9">
        <f>1.15*Table1[[#This Row],[القيمة]]</f>
        <v>18423575.195499998</v>
      </c>
      <c r="M46" s="10" t="s">
        <v>564</v>
      </c>
      <c r="N46" s="11">
        <v>16020500.17</v>
      </c>
      <c r="O46" s="20"/>
      <c r="P46" s="11"/>
      <c r="Q46" s="11"/>
      <c r="R46" s="8" t="s">
        <v>49</v>
      </c>
      <c r="S46" s="10" t="s">
        <v>565</v>
      </c>
      <c r="T46" s="8" t="s">
        <v>60</v>
      </c>
      <c r="U46" s="17" t="s">
        <v>369</v>
      </c>
      <c r="V46" s="8" t="s">
        <v>369</v>
      </c>
      <c r="W46" s="8" t="s">
        <v>52</v>
      </c>
      <c r="X46" s="19" t="s">
        <v>52</v>
      </c>
      <c r="Y46" s="14" t="s">
        <v>566</v>
      </c>
      <c r="Z46" s="14" t="s">
        <v>567</v>
      </c>
      <c r="AA46" s="14"/>
      <c r="AB46" s="10" t="s">
        <v>565</v>
      </c>
      <c r="AC46" s="10"/>
      <c r="AD46" s="12">
        <f>Table1[[#This Row],[القيمة]]</f>
        <v>16020500.17</v>
      </c>
      <c r="AE46" s="8"/>
      <c r="AF46" s="113" t="s">
        <v>369</v>
      </c>
      <c r="AG46" s="8"/>
      <c r="AH46" s="8"/>
      <c r="AI46" s="8"/>
      <c r="AJ46" s="8"/>
      <c r="AK46" s="8"/>
      <c r="AL46" s="8"/>
      <c r="AM46" s="8"/>
      <c r="AN46" s="8"/>
      <c r="AO46" s="8"/>
      <c r="AP46" s="8"/>
      <c r="AQ46" s="8"/>
      <c r="AR46" s="8"/>
      <c r="AS46" s="8"/>
      <c r="AT46" s="54"/>
      <c r="AU46" s="54"/>
    </row>
    <row r="47" spans="1:47" ht="49.95" customHeight="1" x14ac:dyDescent="0.25">
      <c r="A47" s="8">
        <f>SUBTOTAL(3, $J$2:J47)</f>
        <v>46</v>
      </c>
      <c r="B47" s="8"/>
      <c r="C47" s="8" t="s">
        <v>55</v>
      </c>
      <c r="D47" s="8"/>
      <c r="E47" s="8"/>
      <c r="F47" s="8"/>
      <c r="G47" s="8"/>
      <c r="H47" s="8"/>
      <c r="I47" s="8"/>
      <c r="J47" s="47">
        <v>121210076</v>
      </c>
      <c r="K47" s="8" t="s">
        <v>57</v>
      </c>
      <c r="L47" s="9">
        <f>1.15*Table1[[#This Row],[القيمة]]</f>
        <v>5564850</v>
      </c>
      <c r="M47" s="10" t="s">
        <v>568</v>
      </c>
      <c r="N47" s="11">
        <v>4839000</v>
      </c>
      <c r="O47" s="20"/>
      <c r="P47" s="11"/>
      <c r="Q47" s="11"/>
      <c r="R47" s="8" t="s">
        <v>49</v>
      </c>
      <c r="S47" s="10" t="s">
        <v>569</v>
      </c>
      <c r="T47" s="8" t="s">
        <v>60</v>
      </c>
      <c r="U47" s="8" t="s">
        <v>402</v>
      </c>
      <c r="V47" s="8" t="s">
        <v>402</v>
      </c>
      <c r="W47" s="8" t="s">
        <v>52</v>
      </c>
      <c r="X47" s="19" t="s">
        <v>52</v>
      </c>
      <c r="Y47" s="14">
        <v>42232</v>
      </c>
      <c r="Z47" s="14">
        <v>43144</v>
      </c>
      <c r="AA47" s="14"/>
      <c r="AB47" s="10" t="s">
        <v>569</v>
      </c>
      <c r="AC47" s="10"/>
      <c r="AD47" s="12">
        <f>Table1[[#This Row],[القيمة]]</f>
        <v>4839000</v>
      </c>
      <c r="AE47" s="8"/>
      <c r="AF47" s="97" t="s">
        <v>402</v>
      </c>
      <c r="AG47" s="8"/>
      <c r="AH47" s="8"/>
      <c r="AI47" s="8"/>
      <c r="AJ47" s="8"/>
      <c r="AK47" s="8"/>
      <c r="AL47" s="8"/>
      <c r="AM47" s="8"/>
      <c r="AN47" s="8"/>
      <c r="AO47" s="8"/>
      <c r="AP47" s="8"/>
      <c r="AQ47" s="8"/>
      <c r="AR47" s="8"/>
      <c r="AS47" s="8"/>
      <c r="AT47" s="54"/>
      <c r="AU47" s="54"/>
    </row>
    <row r="48" spans="1:47" ht="49.95" customHeight="1" x14ac:dyDescent="0.25">
      <c r="A48" s="8">
        <f>SUBTOTAL(3, $J$2:J48)</f>
        <v>47</v>
      </c>
      <c r="B48" s="8" t="s">
        <v>180</v>
      </c>
      <c r="C48" s="8" t="s">
        <v>55</v>
      </c>
      <c r="D48" s="8"/>
      <c r="E48" s="8"/>
      <c r="F48" s="8"/>
      <c r="G48" s="8"/>
      <c r="H48" s="8"/>
      <c r="I48" s="8"/>
      <c r="J48" s="8">
        <v>121210074</v>
      </c>
      <c r="K48" s="8" t="s">
        <v>47</v>
      </c>
      <c r="L48" s="9">
        <f>1.15*Table1[[#This Row],[القيمة]]</f>
        <v>122881509.51000002</v>
      </c>
      <c r="M48" s="10" t="s">
        <v>570</v>
      </c>
      <c r="N48" s="11">
        <v>106853486.5304348</v>
      </c>
      <c r="O48" s="20"/>
      <c r="P48" s="11"/>
      <c r="Q48" s="11"/>
      <c r="R48" s="8" t="s">
        <v>49</v>
      </c>
      <c r="S48" s="10" t="s">
        <v>64</v>
      </c>
      <c r="T48" s="8" t="s">
        <v>60</v>
      </c>
      <c r="U48" s="8" t="s">
        <v>380</v>
      </c>
      <c r="V48" s="8" t="s">
        <v>380</v>
      </c>
      <c r="W48" s="8" t="s">
        <v>52</v>
      </c>
      <c r="X48" s="19" t="s">
        <v>52</v>
      </c>
      <c r="Y48" s="14" t="s">
        <v>571</v>
      </c>
      <c r="Z48" s="14" t="s">
        <v>572</v>
      </c>
      <c r="AA48" s="14"/>
      <c r="AB48" s="10" t="s">
        <v>64</v>
      </c>
      <c r="AC48" s="10"/>
      <c r="AD48" s="12">
        <f>Table1[[#This Row],[القيمة]]</f>
        <v>106853486.5304348</v>
      </c>
      <c r="AE48" s="8"/>
      <c r="AF48" s="8" t="s">
        <v>380</v>
      </c>
      <c r="AG48" s="8"/>
      <c r="AH48" s="8"/>
      <c r="AI48" s="8"/>
      <c r="AJ48" s="8">
        <v>100</v>
      </c>
      <c r="AK48" s="8">
        <v>97.1</v>
      </c>
      <c r="AL48" s="8"/>
      <c r="AM48" s="8"/>
      <c r="AN48" s="8"/>
      <c r="AO48" s="8"/>
      <c r="AP48" s="8"/>
      <c r="AQ48" s="8"/>
      <c r="AR48" s="8"/>
      <c r="AS48" s="8">
        <v>2.9</v>
      </c>
      <c r="AT48" s="54"/>
      <c r="AU48" s="54"/>
    </row>
    <row r="49" spans="1:47" ht="49.95" customHeight="1" x14ac:dyDescent="0.25">
      <c r="A49" s="8">
        <f>SUBTOTAL(3, $J$2:J49)</f>
        <v>48</v>
      </c>
      <c r="B49" s="8"/>
      <c r="C49" s="8" t="s">
        <v>55</v>
      </c>
      <c r="D49" s="8"/>
      <c r="E49" s="8"/>
      <c r="F49" s="8"/>
      <c r="G49" s="8"/>
      <c r="H49" s="8"/>
      <c r="I49" s="8"/>
      <c r="J49" s="47">
        <v>121210057</v>
      </c>
      <c r="K49" s="8" t="s">
        <v>57</v>
      </c>
      <c r="L49" s="9">
        <f>1.15*Table1[[#This Row],[القيمة]]</f>
        <v>154099578.86999997</v>
      </c>
      <c r="M49" s="10" t="s">
        <v>576</v>
      </c>
      <c r="N49" s="11">
        <v>133999633.8</v>
      </c>
      <c r="O49" s="20"/>
      <c r="P49" s="11"/>
      <c r="Q49" s="11"/>
      <c r="R49" s="8" t="s">
        <v>49</v>
      </c>
      <c r="S49" s="10" t="s">
        <v>246</v>
      </c>
      <c r="T49" s="8" t="s">
        <v>60</v>
      </c>
      <c r="U49" s="8" t="s">
        <v>402</v>
      </c>
      <c r="V49" s="8" t="s">
        <v>402</v>
      </c>
      <c r="W49" s="8" t="s">
        <v>52</v>
      </c>
      <c r="X49" s="19" t="s">
        <v>52</v>
      </c>
      <c r="Y49" s="14">
        <v>41527</v>
      </c>
      <c r="Z49" s="14">
        <v>43170</v>
      </c>
      <c r="AA49" s="14"/>
      <c r="AB49" s="10" t="s">
        <v>246</v>
      </c>
      <c r="AC49" s="10"/>
      <c r="AD49" s="12">
        <f>Table1[[#This Row],[القيمة]]</f>
        <v>133999633.8</v>
      </c>
      <c r="AE49" s="8"/>
      <c r="AF49" s="8" t="s">
        <v>402</v>
      </c>
      <c r="AG49" s="8"/>
      <c r="AH49" s="8"/>
      <c r="AI49" s="8"/>
      <c r="AJ49" s="8"/>
      <c r="AK49" s="8"/>
      <c r="AL49" s="8"/>
      <c r="AM49" s="8"/>
      <c r="AN49" s="8"/>
      <c r="AO49" s="8"/>
      <c r="AP49" s="8"/>
      <c r="AQ49" s="8"/>
      <c r="AR49" s="8"/>
      <c r="AS49" s="8"/>
      <c r="AT49" s="54"/>
      <c r="AU49" s="54"/>
    </row>
    <row r="50" spans="1:47" ht="49.95" customHeight="1" x14ac:dyDescent="0.25">
      <c r="A50" s="8">
        <f>SUBTOTAL(3, $J$2:J50)</f>
        <v>49</v>
      </c>
      <c r="B50" s="8" t="s">
        <v>180</v>
      </c>
      <c r="C50" s="8" t="s">
        <v>55</v>
      </c>
      <c r="D50" s="8"/>
      <c r="E50" s="8"/>
      <c r="F50" s="8"/>
      <c r="G50" s="8"/>
      <c r="H50" s="8"/>
      <c r="I50" s="8"/>
      <c r="J50" s="8">
        <v>121210034</v>
      </c>
      <c r="K50" s="8" t="s">
        <v>47</v>
      </c>
      <c r="L50" s="9">
        <f>1.15*Table1[[#This Row],[القيمة]]</f>
        <v>103003142.49999999</v>
      </c>
      <c r="M50" s="10" t="s">
        <v>581</v>
      </c>
      <c r="N50" s="11">
        <v>89567950</v>
      </c>
      <c r="O50" s="20"/>
      <c r="P50" s="11"/>
      <c r="Q50" s="11"/>
      <c r="R50" s="8" t="s">
        <v>49</v>
      </c>
      <c r="S50" s="10" t="s">
        <v>565</v>
      </c>
      <c r="T50" s="8" t="s">
        <v>60</v>
      </c>
      <c r="U50" s="17" t="s">
        <v>369</v>
      </c>
      <c r="V50" s="8" t="s">
        <v>369</v>
      </c>
      <c r="W50" s="8" t="s">
        <v>52</v>
      </c>
      <c r="X50" s="19" t="s">
        <v>52</v>
      </c>
      <c r="Y50" s="14" t="s">
        <v>582</v>
      </c>
      <c r="Z50" s="14" t="s">
        <v>583</v>
      </c>
      <c r="AA50" s="14"/>
      <c r="AB50" s="10" t="s">
        <v>565</v>
      </c>
      <c r="AC50" s="10"/>
      <c r="AD50" s="12">
        <f>Table1[[#This Row],[القيمة]]</f>
        <v>89567950</v>
      </c>
      <c r="AE50" s="8"/>
      <c r="AF50" s="17" t="s">
        <v>369</v>
      </c>
      <c r="AG50" s="8"/>
      <c r="AH50" s="8"/>
      <c r="AI50" s="8" t="s">
        <v>114</v>
      </c>
      <c r="AJ50" s="8">
        <v>100</v>
      </c>
      <c r="AK50" s="8">
        <v>77.099999999999994</v>
      </c>
      <c r="AL50" s="8"/>
      <c r="AM50" s="8"/>
      <c r="AN50" s="8"/>
      <c r="AO50" s="8">
        <v>0</v>
      </c>
      <c r="AP50" s="8">
        <v>4</v>
      </c>
      <c r="AQ50" s="8"/>
      <c r="AR50" s="8">
        <v>0</v>
      </c>
      <c r="AS50" s="8">
        <v>22.9</v>
      </c>
      <c r="AT50" s="54"/>
      <c r="AU50" s="54"/>
    </row>
    <row r="51" spans="1:47" ht="49.95" customHeight="1" x14ac:dyDescent="0.25">
      <c r="A51" s="8">
        <f>SUBTOTAL(3, $J$2:J51)</f>
        <v>50</v>
      </c>
      <c r="B51" s="8" t="s">
        <v>180</v>
      </c>
      <c r="C51" s="8" t="s">
        <v>55</v>
      </c>
      <c r="D51" s="8"/>
      <c r="E51" s="8"/>
      <c r="F51" s="8"/>
      <c r="G51" s="8"/>
      <c r="H51" s="8"/>
      <c r="I51" s="8"/>
      <c r="J51" s="8">
        <v>121210033</v>
      </c>
      <c r="K51" s="8" t="s">
        <v>47</v>
      </c>
      <c r="L51" s="9">
        <f>1.15*Table1[[#This Row],[القيمة]]</f>
        <v>130686464.86999999</v>
      </c>
      <c r="M51" s="10" t="s">
        <v>584</v>
      </c>
      <c r="N51" s="11">
        <v>113640404.23478261</v>
      </c>
      <c r="O51" s="20"/>
      <c r="P51" s="11"/>
      <c r="Q51" s="11"/>
      <c r="R51" s="8" t="s">
        <v>49</v>
      </c>
      <c r="S51" s="10" t="s">
        <v>312</v>
      </c>
      <c r="T51" s="8" t="s">
        <v>60</v>
      </c>
      <c r="U51" s="17" t="s">
        <v>369</v>
      </c>
      <c r="V51" s="8" t="s">
        <v>369</v>
      </c>
      <c r="W51" s="8" t="s">
        <v>52</v>
      </c>
      <c r="X51" s="19" t="s">
        <v>52</v>
      </c>
      <c r="Y51" s="14" t="s">
        <v>585</v>
      </c>
      <c r="Z51" s="14" t="s">
        <v>586</v>
      </c>
      <c r="AA51" s="14"/>
      <c r="AB51" s="10" t="s">
        <v>312</v>
      </c>
      <c r="AC51" s="10"/>
      <c r="AD51" s="12">
        <f>Table1[[#This Row],[القيمة]]</f>
        <v>113640404.23478261</v>
      </c>
      <c r="AE51" s="8"/>
      <c r="AF51" s="17" t="s">
        <v>369</v>
      </c>
      <c r="AG51" s="8"/>
      <c r="AH51" s="8"/>
      <c r="AI51" s="8"/>
      <c r="AJ51" s="8">
        <v>100</v>
      </c>
      <c r="AK51" s="8">
        <v>91.13</v>
      </c>
      <c r="AL51" s="8"/>
      <c r="AM51" s="8"/>
      <c r="AN51" s="8"/>
      <c r="AO51" s="8"/>
      <c r="AP51" s="8"/>
      <c r="AQ51" s="8"/>
      <c r="AR51" s="8"/>
      <c r="AS51" s="8">
        <v>8.8699999999999992</v>
      </c>
      <c r="AT51" s="54"/>
      <c r="AU51" s="54"/>
    </row>
    <row r="52" spans="1:47" ht="49.95" customHeight="1" x14ac:dyDescent="0.25">
      <c r="A52" s="8">
        <f>SUBTOTAL(3, $J$2:J52)</f>
        <v>51</v>
      </c>
      <c r="B52" s="8" t="s">
        <v>180</v>
      </c>
      <c r="C52" s="8" t="s">
        <v>55</v>
      </c>
      <c r="D52" s="8"/>
      <c r="E52" s="8"/>
      <c r="F52" s="8"/>
      <c r="G52" s="8"/>
      <c r="H52" s="8"/>
      <c r="I52" s="8"/>
      <c r="J52" s="8">
        <v>121210020</v>
      </c>
      <c r="K52" s="8" t="s">
        <v>47</v>
      </c>
      <c r="L52" s="9">
        <f>1.15*Table1[[#This Row],[القيمة]]</f>
        <v>176242914.19999999</v>
      </c>
      <c r="M52" s="10" t="s">
        <v>587</v>
      </c>
      <c r="N52" s="11">
        <v>153254708</v>
      </c>
      <c r="O52" s="20"/>
      <c r="P52" s="11"/>
      <c r="Q52" s="11"/>
      <c r="R52" s="8" t="s">
        <v>49</v>
      </c>
      <c r="S52" s="10" t="s">
        <v>565</v>
      </c>
      <c r="T52" s="8" t="s">
        <v>60</v>
      </c>
      <c r="U52" s="17" t="s">
        <v>369</v>
      </c>
      <c r="V52" s="8" t="s">
        <v>369</v>
      </c>
      <c r="W52" s="8" t="s">
        <v>52</v>
      </c>
      <c r="X52" s="19" t="s">
        <v>52</v>
      </c>
      <c r="Y52" s="14" t="s">
        <v>588</v>
      </c>
      <c r="Z52" s="14" t="s">
        <v>589</v>
      </c>
      <c r="AA52" s="14"/>
      <c r="AB52" s="10" t="s">
        <v>565</v>
      </c>
      <c r="AC52" s="10"/>
      <c r="AD52" s="12">
        <f>Table1[[#This Row],[القيمة]]</f>
        <v>153254708</v>
      </c>
      <c r="AE52" s="8"/>
      <c r="AF52" s="17" t="s">
        <v>369</v>
      </c>
      <c r="AG52" s="8"/>
      <c r="AH52" s="8"/>
      <c r="AI52" s="8" t="s">
        <v>114</v>
      </c>
      <c r="AJ52" s="8">
        <v>100</v>
      </c>
      <c r="AK52" s="8">
        <v>86.85</v>
      </c>
      <c r="AL52" s="8"/>
      <c r="AM52" s="8"/>
      <c r="AN52" s="8"/>
      <c r="AO52" s="8">
        <v>0</v>
      </c>
      <c r="AP52" s="8">
        <v>16</v>
      </c>
      <c r="AQ52" s="8"/>
      <c r="AR52" s="8">
        <v>0</v>
      </c>
      <c r="AS52" s="8">
        <v>13.15</v>
      </c>
      <c r="AT52" s="54"/>
      <c r="AU52" s="54"/>
    </row>
    <row r="53" spans="1:47" ht="49.95" customHeight="1" x14ac:dyDescent="0.25">
      <c r="A53" s="8">
        <f>SUBTOTAL(3, $J$2:J53)</f>
        <v>52</v>
      </c>
      <c r="B53" s="8" t="s">
        <v>91</v>
      </c>
      <c r="C53" s="8" t="s">
        <v>55</v>
      </c>
      <c r="D53" s="8">
        <v>42.507694100000002</v>
      </c>
      <c r="E53" s="8">
        <v>18.215680800000001</v>
      </c>
      <c r="F53" s="8">
        <v>875</v>
      </c>
      <c r="G53" s="8">
        <v>877</v>
      </c>
      <c r="H53" s="8" t="s">
        <v>668</v>
      </c>
      <c r="I53" s="8" t="s">
        <v>669</v>
      </c>
      <c r="J53" s="41">
        <v>111250189</v>
      </c>
      <c r="K53" s="8" t="s">
        <v>47</v>
      </c>
      <c r="L53" s="9">
        <f>1.15*Table1[[#This Row],[القيمة]]</f>
        <v>4044319.9999999995</v>
      </c>
      <c r="M53" s="42" t="s">
        <v>670</v>
      </c>
      <c r="N53" s="43">
        <v>3516800</v>
      </c>
      <c r="O53" s="44" t="s">
        <v>671</v>
      </c>
      <c r="P53" s="11" t="s">
        <v>426</v>
      </c>
      <c r="Q53" s="11" t="s">
        <v>633</v>
      </c>
      <c r="R53" s="8" t="s">
        <v>596</v>
      </c>
      <c r="S53" s="42" t="s">
        <v>672</v>
      </c>
      <c r="T53" s="8" t="s">
        <v>60</v>
      </c>
      <c r="U53" s="8" t="s">
        <v>601</v>
      </c>
      <c r="V53" s="41" t="s">
        <v>288</v>
      </c>
      <c r="W53" s="8" t="s">
        <v>52</v>
      </c>
      <c r="X53" s="19" t="s">
        <v>52</v>
      </c>
      <c r="Y53" s="14">
        <v>45797</v>
      </c>
      <c r="Z53" s="14">
        <v>46052</v>
      </c>
      <c r="AA53" s="8"/>
      <c r="AB53" s="10" t="s">
        <v>672</v>
      </c>
      <c r="AC53" s="10" t="s">
        <v>91</v>
      </c>
      <c r="AD53" s="12">
        <f>Table1[[#This Row],[القيمة]]</f>
        <v>3516800</v>
      </c>
      <c r="AE53" s="19" t="s">
        <v>601</v>
      </c>
      <c r="AF53" s="8"/>
      <c r="AG53" s="8"/>
      <c r="AH53" s="8"/>
      <c r="AI53" s="8" t="s">
        <v>60</v>
      </c>
      <c r="AJ53" s="8">
        <v>100</v>
      </c>
      <c r="AK53" s="8">
        <v>75.92</v>
      </c>
      <c r="AL53" s="8">
        <v>24.08</v>
      </c>
      <c r="AM53" s="8" t="s">
        <v>52</v>
      </c>
      <c r="AN53" s="8" t="s">
        <v>52</v>
      </c>
      <c r="AO53" s="8">
        <v>0</v>
      </c>
      <c r="AP53" s="8">
        <v>0</v>
      </c>
      <c r="AQ53" s="8"/>
      <c r="AR53" s="8">
        <v>2</v>
      </c>
      <c r="AS53" s="8">
        <v>24.08</v>
      </c>
      <c r="AT53" s="54"/>
      <c r="AU53" s="54"/>
    </row>
    <row r="54" spans="1:47" ht="49.95" customHeight="1" x14ac:dyDescent="0.25">
      <c r="A54" s="8">
        <f>SUBTOTAL(3, $J$2:J54)</f>
        <v>53</v>
      </c>
      <c r="B54" s="8" t="s">
        <v>180</v>
      </c>
      <c r="C54" s="8" t="s">
        <v>55</v>
      </c>
      <c r="D54" s="8"/>
      <c r="E54" s="8"/>
      <c r="F54" s="8"/>
      <c r="G54" s="8"/>
      <c r="H54" s="8"/>
      <c r="I54" s="8"/>
      <c r="J54" s="8">
        <v>111250019</v>
      </c>
      <c r="K54" s="8" t="s">
        <v>47</v>
      </c>
      <c r="L54" s="9">
        <f>1.15*Table1[[#This Row],[القيمة]]</f>
        <v>3582093.5999999996</v>
      </c>
      <c r="M54" s="10" t="s">
        <v>717</v>
      </c>
      <c r="N54" s="11">
        <v>3114864</v>
      </c>
      <c r="O54" s="20"/>
      <c r="P54" s="11"/>
      <c r="Q54" s="11"/>
      <c r="R54" s="8" t="s">
        <v>596</v>
      </c>
      <c r="S54" s="10" t="s">
        <v>306</v>
      </c>
      <c r="T54" s="8" t="s">
        <v>60</v>
      </c>
      <c r="U54" s="8" t="s">
        <v>718</v>
      </c>
      <c r="V54" s="8" t="s">
        <v>718</v>
      </c>
      <c r="W54" s="8" t="s">
        <v>52</v>
      </c>
      <c r="X54" s="19" t="s">
        <v>52</v>
      </c>
      <c r="Y54" s="14" t="s">
        <v>719</v>
      </c>
      <c r="Z54" s="14" t="s">
        <v>720</v>
      </c>
      <c r="AA54" s="14"/>
      <c r="AB54" s="10" t="s">
        <v>306</v>
      </c>
      <c r="AC54" s="10"/>
      <c r="AD54" s="12">
        <f>Table1[[#This Row],[القيمة]]</f>
        <v>3114864</v>
      </c>
      <c r="AE54" s="8" t="s">
        <v>718</v>
      </c>
      <c r="AF54" s="8"/>
      <c r="AG54" s="8"/>
      <c r="AH54" s="8"/>
      <c r="AI54" s="8" t="s">
        <v>114</v>
      </c>
      <c r="AJ54" s="8">
        <v>100</v>
      </c>
      <c r="AK54" s="8">
        <v>90.06</v>
      </c>
      <c r="AL54" s="8"/>
      <c r="AM54" s="8"/>
      <c r="AN54" s="8"/>
      <c r="AO54" s="8">
        <v>0</v>
      </c>
      <c r="AP54" s="8">
        <v>0</v>
      </c>
      <c r="AQ54" s="8"/>
      <c r="AR54" s="8">
        <v>4</v>
      </c>
      <c r="AS54" s="8">
        <v>9.94</v>
      </c>
      <c r="AT54" s="54"/>
      <c r="AU54" s="54"/>
    </row>
    <row r="55" spans="1:47" ht="49.95" customHeight="1" x14ac:dyDescent="0.25">
      <c r="A55" s="8">
        <f>SUBTOTAL(3, $J$2:J55)</f>
        <v>54</v>
      </c>
      <c r="B55" s="8" t="s">
        <v>91</v>
      </c>
      <c r="C55" s="8" t="s">
        <v>55</v>
      </c>
      <c r="D55" s="8">
        <v>42.458920999999997</v>
      </c>
      <c r="E55" s="8">
        <v>18.266075000000001</v>
      </c>
      <c r="F55" s="8">
        <v>10100</v>
      </c>
      <c r="G55" s="8">
        <v>8933</v>
      </c>
      <c r="H55" s="8" t="s">
        <v>730</v>
      </c>
      <c r="I55" s="8" t="s">
        <v>731</v>
      </c>
      <c r="J55" s="41">
        <v>111240489</v>
      </c>
      <c r="K55" s="8" t="s">
        <v>47</v>
      </c>
      <c r="L55" s="9">
        <f>1.15*Table1[[#This Row],[القيمة]]</f>
        <v>4958685</v>
      </c>
      <c r="M55" s="42" t="s">
        <v>732</v>
      </c>
      <c r="N55" s="43">
        <v>4311900</v>
      </c>
      <c r="O55" s="44" t="s">
        <v>733</v>
      </c>
      <c r="P55" s="11" t="s">
        <v>96</v>
      </c>
      <c r="Q55" s="11" t="s">
        <v>687</v>
      </c>
      <c r="R55" s="8" t="s">
        <v>596</v>
      </c>
      <c r="S55" s="42" t="s">
        <v>734</v>
      </c>
      <c r="T55" s="8" t="s">
        <v>60</v>
      </c>
      <c r="U55" s="8" t="s">
        <v>511</v>
      </c>
      <c r="V55" s="41" t="s">
        <v>512</v>
      </c>
      <c r="W55" s="8" t="s">
        <v>52</v>
      </c>
      <c r="X55" s="19" t="s">
        <v>52</v>
      </c>
      <c r="Y55" s="14">
        <v>45630</v>
      </c>
      <c r="Z55" s="14">
        <v>46043</v>
      </c>
      <c r="AA55" s="8"/>
      <c r="AB55" s="10" t="s">
        <v>734</v>
      </c>
      <c r="AC55" s="10" t="s">
        <v>91</v>
      </c>
      <c r="AD55" s="12">
        <f>Table1[[#This Row],[القيمة]]</f>
        <v>4311900</v>
      </c>
      <c r="AE55" s="41" t="s">
        <v>511</v>
      </c>
      <c r="AF55" s="8"/>
      <c r="AG55" s="8"/>
      <c r="AH55" s="8"/>
      <c r="AI55" s="8" t="s">
        <v>114</v>
      </c>
      <c r="AJ55" s="8">
        <v>100</v>
      </c>
      <c r="AK55" s="8">
        <v>70.11</v>
      </c>
      <c r="AL55" s="8">
        <v>29.89</v>
      </c>
      <c r="AM55" s="8" t="s">
        <v>52</v>
      </c>
      <c r="AN55" s="8" t="s">
        <v>52</v>
      </c>
      <c r="AO55" s="8">
        <v>0</v>
      </c>
      <c r="AP55" s="8">
        <v>1</v>
      </c>
      <c r="AQ55" s="8"/>
      <c r="AR55" s="8">
        <v>5</v>
      </c>
      <c r="AS55" s="8">
        <v>29.89</v>
      </c>
      <c r="AT55" s="54"/>
      <c r="AU55" s="54"/>
    </row>
    <row r="56" spans="1:47" ht="49.95" customHeight="1" x14ac:dyDescent="0.25">
      <c r="A56" s="8">
        <f>SUBTOTAL(3, $J$2:J56)</f>
        <v>55</v>
      </c>
      <c r="B56" s="8" t="s">
        <v>19</v>
      </c>
      <c r="C56" s="8" t="s">
        <v>55</v>
      </c>
      <c r="D56" s="8"/>
      <c r="E56" s="8"/>
      <c r="F56" s="8"/>
      <c r="G56" s="8"/>
      <c r="H56" s="8"/>
      <c r="I56" s="8"/>
      <c r="J56" s="41">
        <v>111240339</v>
      </c>
      <c r="K56" s="8" t="s">
        <v>47</v>
      </c>
      <c r="L56" s="9">
        <f>1.15*Table1[[#This Row],[القيمة]]</f>
        <v>14922556.399999999</v>
      </c>
      <c r="M56" s="83" t="s">
        <v>785</v>
      </c>
      <c r="N56" s="84">
        <v>12976136</v>
      </c>
      <c r="O56" s="44"/>
      <c r="P56" s="11"/>
      <c r="Q56" s="11"/>
      <c r="R56" s="46" t="s">
        <v>596</v>
      </c>
      <c r="S56" s="83" t="s">
        <v>786</v>
      </c>
      <c r="T56" s="8" t="s">
        <v>133</v>
      </c>
      <c r="U56" s="46" t="s">
        <v>694</v>
      </c>
      <c r="V56" s="41" t="s">
        <v>512</v>
      </c>
      <c r="W56" s="8" t="s">
        <v>52</v>
      </c>
      <c r="X56" s="19" t="s">
        <v>52</v>
      </c>
      <c r="Y56" s="14" t="s">
        <v>787</v>
      </c>
      <c r="Z56" s="14" t="s">
        <v>788</v>
      </c>
      <c r="AA56" s="14"/>
      <c r="AB56" s="10" t="s">
        <v>786</v>
      </c>
      <c r="AC56" s="10"/>
      <c r="AD56" s="12">
        <f>Table1[[#This Row],[القيمة]]</f>
        <v>12976136</v>
      </c>
      <c r="AE56" s="8" t="s">
        <v>695</v>
      </c>
      <c r="AF56" s="97"/>
      <c r="AG56" s="8" t="s">
        <v>79</v>
      </c>
      <c r="AH56" s="8" t="s">
        <v>288</v>
      </c>
      <c r="AI56" s="8" t="s">
        <v>114</v>
      </c>
      <c r="AJ56" s="8">
        <v>88.74</v>
      </c>
      <c r="AK56" s="8">
        <v>71.64</v>
      </c>
      <c r="AL56" s="8"/>
      <c r="AM56" s="8"/>
      <c r="AN56" s="8"/>
      <c r="AO56" s="8">
        <v>0</v>
      </c>
      <c r="AP56" s="8">
        <v>0</v>
      </c>
      <c r="AQ56" s="8"/>
      <c r="AR56" s="8">
        <v>0</v>
      </c>
      <c r="AS56" s="8">
        <v>17.100000000000001</v>
      </c>
      <c r="AT56" s="54"/>
      <c r="AU56" s="54"/>
    </row>
    <row r="57" spans="1:47" ht="49.95" customHeight="1" x14ac:dyDescent="0.25">
      <c r="A57" s="8">
        <f>SUBTOTAL(3, $J$2:J57)</f>
        <v>56</v>
      </c>
      <c r="B57" s="8" t="s">
        <v>52</v>
      </c>
      <c r="C57" s="8" t="s">
        <v>55</v>
      </c>
      <c r="D57" s="8"/>
      <c r="E57" s="8"/>
      <c r="F57" s="8"/>
      <c r="G57" s="8"/>
      <c r="H57" s="8"/>
      <c r="I57" s="8"/>
      <c r="J57" s="8">
        <v>111240337</v>
      </c>
      <c r="K57" s="8" t="s">
        <v>47</v>
      </c>
      <c r="L57" s="9">
        <f>1.15*Table1[[#This Row],[القيمة]]</f>
        <v>3982093.4999999995</v>
      </c>
      <c r="M57" s="10" t="s">
        <v>789</v>
      </c>
      <c r="N57" s="11">
        <v>3462690</v>
      </c>
      <c r="O57" s="20"/>
      <c r="P57" s="11"/>
      <c r="Q57" s="11"/>
      <c r="R57" s="8" t="s">
        <v>596</v>
      </c>
      <c r="S57" s="10" t="s">
        <v>790</v>
      </c>
      <c r="T57" s="8" t="s">
        <v>60</v>
      </c>
      <c r="U57" s="8" t="s">
        <v>511</v>
      </c>
      <c r="V57" s="8" t="s">
        <v>511</v>
      </c>
      <c r="W57" s="8" t="s">
        <v>52</v>
      </c>
      <c r="X57" s="19" t="s">
        <v>52</v>
      </c>
      <c r="Y57" s="14" t="s">
        <v>791</v>
      </c>
      <c r="Z57" s="14" t="s">
        <v>792</v>
      </c>
      <c r="AA57" s="14"/>
      <c r="AB57" s="10" t="s">
        <v>790</v>
      </c>
      <c r="AC57" s="10"/>
      <c r="AD57" s="12">
        <f>Table1[[#This Row],[القيمة]]</f>
        <v>3462690</v>
      </c>
      <c r="AE57" s="8" t="s">
        <v>511</v>
      </c>
      <c r="AF57" s="97"/>
      <c r="AG57" s="8"/>
      <c r="AH57" s="8"/>
      <c r="AI57" s="8" t="s">
        <v>60</v>
      </c>
      <c r="AJ57" s="8">
        <v>100</v>
      </c>
      <c r="AK57" s="8">
        <v>42.14</v>
      </c>
      <c r="AL57" s="8"/>
      <c r="AM57" s="8"/>
      <c r="AN57" s="8"/>
      <c r="AO57" s="8">
        <v>0</v>
      </c>
      <c r="AP57" s="8">
        <v>0</v>
      </c>
      <c r="AQ57" s="8"/>
      <c r="AR57" s="8">
        <v>0</v>
      </c>
      <c r="AS57" s="8">
        <v>57.86</v>
      </c>
      <c r="AT57" s="54"/>
      <c r="AU57" s="54"/>
    </row>
    <row r="58" spans="1:47" ht="49.95" customHeight="1" x14ac:dyDescent="0.25">
      <c r="A58" s="8">
        <f>SUBTOTAL(3, $J$2:J58)</f>
        <v>57</v>
      </c>
      <c r="B58" s="8" t="s">
        <v>19</v>
      </c>
      <c r="C58" s="8" t="s">
        <v>55</v>
      </c>
      <c r="D58" s="8"/>
      <c r="E58" s="8"/>
      <c r="F58" s="8"/>
      <c r="G58" s="8"/>
      <c r="H58" s="8"/>
      <c r="I58" s="8"/>
      <c r="J58" s="41">
        <v>111240256</v>
      </c>
      <c r="K58" s="8" t="s">
        <v>47</v>
      </c>
      <c r="L58" s="9">
        <f>1.15*Table1[[#This Row],[القيمة]]</f>
        <v>8034474.9999999991</v>
      </c>
      <c r="M58" s="42" t="s">
        <v>836</v>
      </c>
      <c r="N58" s="43">
        <v>6986500</v>
      </c>
      <c r="O58" s="44"/>
      <c r="P58" s="11"/>
      <c r="Q58" s="11"/>
      <c r="R58" s="8" t="s">
        <v>596</v>
      </c>
      <c r="S58" s="42" t="s">
        <v>207</v>
      </c>
      <c r="T58" s="8" t="s">
        <v>133</v>
      </c>
      <c r="U58" s="8" t="s">
        <v>694</v>
      </c>
      <c r="V58" s="41" t="s">
        <v>512</v>
      </c>
      <c r="W58" s="8" t="s">
        <v>52</v>
      </c>
      <c r="X58" s="19" t="s">
        <v>52</v>
      </c>
      <c r="Y58" s="14" t="s">
        <v>837</v>
      </c>
      <c r="Z58" s="14" t="s">
        <v>422</v>
      </c>
      <c r="AA58" s="14"/>
      <c r="AB58" s="10" t="s">
        <v>207</v>
      </c>
      <c r="AC58" s="10"/>
      <c r="AD58" s="12">
        <f>Table1[[#This Row],[القيمة]]</f>
        <v>6986500</v>
      </c>
      <c r="AE58" s="8" t="s">
        <v>695</v>
      </c>
      <c r="AF58" s="8" t="s">
        <v>402</v>
      </c>
      <c r="AG58" s="8" t="s">
        <v>79</v>
      </c>
      <c r="AH58" s="8" t="s">
        <v>288</v>
      </c>
      <c r="AI58" s="8" t="s">
        <v>114</v>
      </c>
      <c r="AJ58" s="8">
        <v>100</v>
      </c>
      <c r="AK58" s="8">
        <v>53.93</v>
      </c>
      <c r="AL58" s="8"/>
      <c r="AM58" s="8"/>
      <c r="AN58" s="8"/>
      <c r="AO58" s="8">
        <v>0</v>
      </c>
      <c r="AP58" s="8">
        <v>0</v>
      </c>
      <c r="AQ58" s="8"/>
      <c r="AR58" s="8">
        <v>2</v>
      </c>
      <c r="AS58" s="8">
        <v>46.07</v>
      </c>
      <c r="AT58" s="54"/>
      <c r="AU58" s="54"/>
    </row>
    <row r="59" spans="1:47" ht="49.95" customHeight="1" x14ac:dyDescent="0.25">
      <c r="A59" s="8">
        <f>SUBTOTAL(3, $J$2:J59)</f>
        <v>58</v>
      </c>
      <c r="B59" s="8" t="s">
        <v>52</v>
      </c>
      <c r="C59" s="8" t="s">
        <v>55</v>
      </c>
      <c r="D59" s="8"/>
      <c r="E59" s="8"/>
      <c r="F59" s="8"/>
      <c r="G59" s="8"/>
      <c r="H59" s="8"/>
      <c r="I59" s="8"/>
      <c r="J59" s="97">
        <v>111240057</v>
      </c>
      <c r="K59" s="8" t="s">
        <v>47</v>
      </c>
      <c r="L59" s="9">
        <f>1.15*Table1[[#This Row],[القيمة]]</f>
        <v>9323881.1624999996</v>
      </c>
      <c r="M59" s="106" t="s">
        <v>884</v>
      </c>
      <c r="N59" s="108">
        <v>8107722.75</v>
      </c>
      <c r="O59" s="20"/>
      <c r="P59" s="11"/>
      <c r="Q59" s="11"/>
      <c r="R59" s="8" t="s">
        <v>596</v>
      </c>
      <c r="S59" s="106" t="s">
        <v>59</v>
      </c>
      <c r="T59" s="97" t="s">
        <v>60</v>
      </c>
      <c r="U59" s="97" t="s">
        <v>718</v>
      </c>
      <c r="V59" s="97" t="s">
        <v>718</v>
      </c>
      <c r="W59" s="8" t="s">
        <v>52</v>
      </c>
      <c r="X59" s="19" t="s">
        <v>52</v>
      </c>
      <c r="Y59" s="14" t="s">
        <v>885</v>
      </c>
      <c r="Z59" s="14" t="s">
        <v>886</v>
      </c>
      <c r="AA59" s="14"/>
      <c r="AB59" s="10" t="s">
        <v>59</v>
      </c>
      <c r="AC59" s="10"/>
      <c r="AD59" s="12">
        <f>Table1[[#This Row],[القيمة]]</f>
        <v>8107722.75</v>
      </c>
      <c r="AE59" s="8" t="s">
        <v>718</v>
      </c>
      <c r="AF59" s="8"/>
      <c r="AG59" s="97"/>
      <c r="AH59" s="8"/>
      <c r="AI59" s="8" t="s">
        <v>114</v>
      </c>
      <c r="AJ59" s="8">
        <v>100</v>
      </c>
      <c r="AK59" s="8">
        <v>84.47</v>
      </c>
      <c r="AL59" s="8"/>
      <c r="AM59" s="8"/>
      <c r="AN59" s="8"/>
      <c r="AO59" s="8">
        <v>0</v>
      </c>
      <c r="AP59" s="8">
        <v>1</v>
      </c>
      <c r="AQ59" s="8"/>
      <c r="AR59" s="8">
        <v>12</v>
      </c>
      <c r="AS59" s="8">
        <v>15.53</v>
      </c>
      <c r="AT59" s="54"/>
      <c r="AU59" s="54"/>
    </row>
    <row r="60" spans="1:47" ht="49.95" customHeight="1" x14ac:dyDescent="0.25">
      <c r="A60" s="8">
        <f>SUBTOTAL(3, $J$2:J60)</f>
        <v>59</v>
      </c>
      <c r="B60" s="8" t="s">
        <v>19</v>
      </c>
      <c r="C60" s="8" t="s">
        <v>55</v>
      </c>
      <c r="D60" s="8">
        <v>42.507694100000002</v>
      </c>
      <c r="E60" s="8">
        <v>18.215680800000001</v>
      </c>
      <c r="F60" s="8">
        <v>0</v>
      </c>
      <c r="G60" s="8">
        <v>0</v>
      </c>
      <c r="H60" s="8" t="s">
        <v>982</v>
      </c>
      <c r="I60" s="8" t="s">
        <v>983</v>
      </c>
      <c r="J60" s="97">
        <v>111230077</v>
      </c>
      <c r="K60" s="8" t="s">
        <v>47</v>
      </c>
      <c r="L60" s="9">
        <f>1.15*Table1[[#This Row],[القيمة]]</f>
        <v>32410624.799999997</v>
      </c>
      <c r="M60" s="10" t="s">
        <v>984</v>
      </c>
      <c r="N60" s="11">
        <v>28183152</v>
      </c>
      <c r="O60" s="20" t="s">
        <v>985</v>
      </c>
      <c r="P60" s="11" t="s">
        <v>986</v>
      </c>
      <c r="Q60" s="11" t="s">
        <v>131</v>
      </c>
      <c r="R60" s="8" t="s">
        <v>596</v>
      </c>
      <c r="S60" s="10" t="s">
        <v>688</v>
      </c>
      <c r="T60" s="8" t="s">
        <v>133</v>
      </c>
      <c r="U60" s="8" t="s">
        <v>689</v>
      </c>
      <c r="V60" s="8" t="s">
        <v>689</v>
      </c>
      <c r="W60" s="8" t="s">
        <v>52</v>
      </c>
      <c r="X60" s="19" t="s">
        <v>52</v>
      </c>
      <c r="Y60" s="14">
        <v>45232</v>
      </c>
      <c r="Z60" s="14">
        <v>46072</v>
      </c>
      <c r="AA60" s="8"/>
      <c r="AB60" s="10" t="s">
        <v>688</v>
      </c>
      <c r="AC60" s="10" t="s">
        <v>91</v>
      </c>
      <c r="AD60" s="12">
        <f>Table1[[#This Row],[القيمة]]</f>
        <v>28183152</v>
      </c>
      <c r="AE60" s="8" t="s">
        <v>689</v>
      </c>
      <c r="AF60" s="8"/>
      <c r="AG60" s="8" t="s">
        <v>79</v>
      </c>
      <c r="AH60" s="8" t="s">
        <v>65</v>
      </c>
      <c r="AI60" s="8" t="s">
        <v>133</v>
      </c>
      <c r="AJ60" s="8">
        <v>100</v>
      </c>
      <c r="AK60" s="8">
        <v>90</v>
      </c>
      <c r="AL60" s="8">
        <v>10</v>
      </c>
      <c r="AM60" s="8" t="s">
        <v>52</v>
      </c>
      <c r="AN60" s="8" t="s">
        <v>52</v>
      </c>
      <c r="AO60" s="8">
        <v>0</v>
      </c>
      <c r="AP60" s="8">
        <v>1</v>
      </c>
      <c r="AQ60" s="8"/>
      <c r="AR60" s="8" t="s">
        <v>635</v>
      </c>
      <c r="AS60" s="8">
        <v>10</v>
      </c>
      <c r="AT60" s="54"/>
      <c r="AU60" s="54"/>
    </row>
    <row r="61" spans="1:47" ht="49.95" customHeight="1" x14ac:dyDescent="0.25">
      <c r="A61" s="8">
        <f>SUBTOTAL(3, $J$2:J61)</f>
        <v>60</v>
      </c>
      <c r="B61" s="8" t="s">
        <v>52</v>
      </c>
      <c r="C61" s="8" t="s">
        <v>55</v>
      </c>
      <c r="D61" s="8"/>
      <c r="E61" s="8"/>
      <c r="F61" s="8"/>
      <c r="G61" s="8"/>
      <c r="H61" s="8"/>
      <c r="I61" s="8"/>
      <c r="J61" s="97">
        <v>111220196</v>
      </c>
      <c r="K61" s="8" t="s">
        <v>47</v>
      </c>
      <c r="L61" s="9">
        <f>1.15*Table1[[#This Row],[القيمة]]</f>
        <v>94874994.25</v>
      </c>
      <c r="M61" s="10" t="s">
        <v>987</v>
      </c>
      <c r="N61" s="11">
        <v>82499995</v>
      </c>
      <c r="O61" s="20"/>
      <c r="P61" s="11"/>
      <c r="Q61" s="11"/>
      <c r="R61" s="8" t="s">
        <v>596</v>
      </c>
      <c r="S61" s="10" t="s">
        <v>160</v>
      </c>
      <c r="T61" s="8" t="s">
        <v>60</v>
      </c>
      <c r="U61" s="8" t="s">
        <v>641</v>
      </c>
      <c r="V61" s="8" t="s">
        <v>641</v>
      </c>
      <c r="W61" s="8" t="s">
        <v>52</v>
      </c>
      <c r="X61" s="19" t="s">
        <v>52</v>
      </c>
      <c r="Y61" s="14" t="s">
        <v>988</v>
      </c>
      <c r="Z61" s="14" t="s">
        <v>989</v>
      </c>
      <c r="AA61" s="14"/>
      <c r="AB61" s="10" t="s">
        <v>160</v>
      </c>
      <c r="AC61" s="10"/>
      <c r="AD61" s="12">
        <f>Table1[[#This Row],[القيمة]]</f>
        <v>82499995</v>
      </c>
      <c r="AE61" s="8" t="s">
        <v>641</v>
      </c>
      <c r="AF61" s="8"/>
      <c r="AG61" s="8"/>
      <c r="AH61" s="8"/>
      <c r="AI61" s="8" t="s">
        <v>114</v>
      </c>
      <c r="AJ61" s="8">
        <v>100</v>
      </c>
      <c r="AK61" s="8">
        <v>85.98</v>
      </c>
      <c r="AL61" s="8"/>
      <c r="AM61" s="8"/>
      <c r="AN61" s="8"/>
      <c r="AO61" s="8">
        <v>0</v>
      </c>
      <c r="AP61" s="8">
        <v>0</v>
      </c>
      <c r="AQ61" s="8"/>
      <c r="AR61" s="8">
        <v>72</v>
      </c>
      <c r="AS61" s="8">
        <v>14.02</v>
      </c>
      <c r="AT61" s="54"/>
      <c r="AU61" s="54"/>
    </row>
    <row r="62" spans="1:47" ht="49.95" customHeight="1" x14ac:dyDescent="0.25">
      <c r="A62" s="8">
        <f>SUBTOTAL(3, $J$2:J62)</f>
        <v>61</v>
      </c>
      <c r="B62" s="8" t="s">
        <v>52</v>
      </c>
      <c r="C62" s="8" t="s">
        <v>55</v>
      </c>
      <c r="D62" s="8"/>
      <c r="E62" s="8"/>
      <c r="F62" s="8"/>
      <c r="G62" s="8"/>
      <c r="H62" s="8"/>
      <c r="I62" s="8"/>
      <c r="J62" s="8">
        <v>111220099</v>
      </c>
      <c r="K62" s="8" t="s">
        <v>47</v>
      </c>
      <c r="L62" s="9">
        <f>1.15*Table1[[#This Row],[القيمة]]</f>
        <v>35764812.950000003</v>
      </c>
      <c r="M62" s="10" t="s">
        <v>990</v>
      </c>
      <c r="N62" s="11">
        <v>31099837.34782609</v>
      </c>
      <c r="O62" s="20"/>
      <c r="P62" s="11"/>
      <c r="Q62" s="11"/>
      <c r="R62" s="8" t="s">
        <v>596</v>
      </c>
      <c r="S62" s="10" t="s">
        <v>106</v>
      </c>
      <c r="T62" s="8" t="s">
        <v>60</v>
      </c>
      <c r="U62" s="8" t="s">
        <v>511</v>
      </c>
      <c r="V62" s="8" t="s">
        <v>511</v>
      </c>
      <c r="W62" s="8" t="s">
        <v>52</v>
      </c>
      <c r="X62" s="19" t="s">
        <v>52</v>
      </c>
      <c r="Y62" s="14" t="s">
        <v>991</v>
      </c>
      <c r="Z62" s="14" t="s">
        <v>992</v>
      </c>
      <c r="AA62" s="14"/>
      <c r="AB62" s="10" t="s">
        <v>106</v>
      </c>
      <c r="AC62" s="10"/>
      <c r="AD62" s="12">
        <f>Table1[[#This Row],[القيمة]]</f>
        <v>31099837.34782609</v>
      </c>
      <c r="AE62" s="8" t="s">
        <v>511</v>
      </c>
      <c r="AF62" s="8"/>
      <c r="AG62" s="8"/>
      <c r="AH62" s="8"/>
      <c r="AI62" s="8"/>
      <c r="AJ62" s="8">
        <v>100</v>
      </c>
      <c r="AK62" s="8">
        <v>77.23</v>
      </c>
      <c r="AL62" s="8"/>
      <c r="AM62" s="8"/>
      <c r="AN62" s="8"/>
      <c r="AO62" s="8"/>
      <c r="AP62" s="8"/>
      <c r="AQ62" s="8"/>
      <c r="AR62" s="8"/>
      <c r="AS62" s="8">
        <v>22.77</v>
      </c>
      <c r="AT62" s="54"/>
      <c r="AU62" s="54"/>
    </row>
    <row r="63" spans="1:47" ht="49.95" customHeight="1" x14ac:dyDescent="0.25">
      <c r="A63" s="8">
        <f>SUBTOTAL(3, $J$2:J63)</f>
        <v>62</v>
      </c>
      <c r="B63" s="8"/>
      <c r="C63" s="8" t="s">
        <v>55</v>
      </c>
      <c r="D63" s="8"/>
      <c r="E63" s="8"/>
      <c r="F63" s="8"/>
      <c r="G63" s="8"/>
      <c r="H63" s="8"/>
      <c r="I63" s="8"/>
      <c r="J63" s="41">
        <v>111220087</v>
      </c>
      <c r="K63" s="8" t="s">
        <v>57</v>
      </c>
      <c r="L63" s="9">
        <f>1.15*Table1[[#This Row],[القيمة]]</f>
        <v>24526897.549999997</v>
      </c>
      <c r="M63" s="42" t="s">
        <v>993</v>
      </c>
      <c r="N63" s="43">
        <v>21327737</v>
      </c>
      <c r="O63" s="44"/>
      <c r="P63" s="11"/>
      <c r="Q63" s="11"/>
      <c r="R63" s="8" t="s">
        <v>596</v>
      </c>
      <c r="S63" s="42" t="s">
        <v>994</v>
      </c>
      <c r="T63" s="8" t="s">
        <v>60</v>
      </c>
      <c r="U63" s="8" t="s">
        <v>511</v>
      </c>
      <c r="V63" s="41" t="s">
        <v>512</v>
      </c>
      <c r="W63" s="8" t="s">
        <v>52</v>
      </c>
      <c r="X63" s="19" t="s">
        <v>52</v>
      </c>
      <c r="Y63" s="14" t="s">
        <v>995</v>
      </c>
      <c r="Z63" s="14" t="s">
        <v>996</v>
      </c>
      <c r="AA63" s="8"/>
      <c r="AB63" s="10" t="s">
        <v>306</v>
      </c>
      <c r="AC63" s="10"/>
      <c r="AD63" s="12">
        <f>Table1[[#This Row],[القيمة]]</f>
        <v>21327737</v>
      </c>
      <c r="AE63" s="41" t="s">
        <v>511</v>
      </c>
      <c r="AF63" s="8"/>
      <c r="AG63" s="8"/>
      <c r="AH63" s="8"/>
      <c r="AI63" s="8"/>
      <c r="AJ63" s="8"/>
      <c r="AK63" s="8"/>
      <c r="AL63" s="8"/>
      <c r="AM63" s="8"/>
      <c r="AN63" s="8"/>
      <c r="AO63" s="8"/>
      <c r="AP63" s="8"/>
      <c r="AQ63" s="8"/>
      <c r="AR63" s="8"/>
      <c r="AS63" s="8"/>
      <c r="AT63" s="54"/>
      <c r="AU63" s="54"/>
    </row>
    <row r="64" spans="1:47" ht="49.95" customHeight="1" x14ac:dyDescent="0.25">
      <c r="A64" s="8">
        <f>SUBTOTAL(3, $J$2:J64)</f>
        <v>63</v>
      </c>
      <c r="B64" s="8"/>
      <c r="C64" s="8"/>
      <c r="D64" s="8"/>
      <c r="E64" s="8"/>
      <c r="F64" s="8"/>
      <c r="G64" s="8"/>
      <c r="H64" s="8"/>
      <c r="I64" s="8"/>
      <c r="J64" s="41">
        <v>111220063</v>
      </c>
      <c r="K64" s="8" t="s">
        <v>47</v>
      </c>
      <c r="L64" s="78">
        <f>1.15*Table1[[#This Row],[القيمة]]</f>
        <v>0</v>
      </c>
      <c r="M64" s="44" t="s">
        <v>997</v>
      </c>
      <c r="N64" s="43"/>
      <c r="O64" s="44"/>
      <c r="P64" s="11"/>
      <c r="Q64" s="11"/>
      <c r="R64" s="8" t="s">
        <v>596</v>
      </c>
      <c r="S64" s="42" t="s">
        <v>892</v>
      </c>
      <c r="T64" s="8"/>
      <c r="U64" s="8" t="s">
        <v>694</v>
      </c>
      <c r="V64" s="41" t="s">
        <v>625</v>
      </c>
      <c r="W64" s="8" t="s">
        <v>52</v>
      </c>
      <c r="X64" s="19" t="s">
        <v>52</v>
      </c>
      <c r="Y64" s="14"/>
      <c r="Z64" s="14">
        <v>45658</v>
      </c>
      <c r="AA64" s="35"/>
      <c r="AB64" s="10" t="s">
        <v>892</v>
      </c>
      <c r="AC64" s="10"/>
      <c r="AD64" s="12">
        <f>Table1[[#This Row],[القيمة]]</f>
        <v>0</v>
      </c>
      <c r="AE64" s="8" t="s">
        <v>695</v>
      </c>
      <c r="AF64" s="8"/>
      <c r="AG64" s="8"/>
      <c r="AH64" s="8"/>
      <c r="AI64" s="8"/>
      <c r="AJ64" s="8"/>
      <c r="AK64" s="8"/>
      <c r="AL64" s="8"/>
      <c r="AM64" s="8"/>
      <c r="AN64" s="8"/>
      <c r="AO64" s="10"/>
      <c r="AP64" s="8"/>
      <c r="AQ64" s="8"/>
      <c r="AR64" s="8"/>
      <c r="AS64" s="8"/>
      <c r="AT64" s="54"/>
      <c r="AU64" s="54"/>
    </row>
    <row r="65" spans="1:47" ht="49.95" customHeight="1" x14ac:dyDescent="0.25">
      <c r="A65" s="8">
        <f>SUBTOTAL(3, $J$2:J65)</f>
        <v>64</v>
      </c>
      <c r="B65" s="8" t="s">
        <v>52</v>
      </c>
      <c r="C65" s="8" t="s">
        <v>55</v>
      </c>
      <c r="D65" s="8"/>
      <c r="E65" s="8"/>
      <c r="F65" s="8"/>
      <c r="G65" s="8"/>
      <c r="H65" s="8"/>
      <c r="I65" s="8"/>
      <c r="J65" s="8">
        <v>111220035</v>
      </c>
      <c r="K65" s="8" t="s">
        <v>57</v>
      </c>
      <c r="L65" s="9">
        <f>1.15*Table1[[#This Row],[القيمة]]</f>
        <v>24300000.02</v>
      </c>
      <c r="M65" s="10" t="s">
        <v>998</v>
      </c>
      <c r="N65" s="11">
        <v>21130434.800000001</v>
      </c>
      <c r="O65" s="20"/>
      <c r="P65" s="11"/>
      <c r="Q65" s="11"/>
      <c r="R65" s="8" t="s">
        <v>596</v>
      </c>
      <c r="S65" s="10" t="s">
        <v>195</v>
      </c>
      <c r="T65" s="8" t="s">
        <v>60</v>
      </c>
      <c r="U65" s="8"/>
      <c r="V65" s="8"/>
      <c r="W65" s="8" t="s">
        <v>52</v>
      </c>
      <c r="X65" s="19" t="s">
        <v>52</v>
      </c>
      <c r="Y65" s="14" t="s">
        <v>999</v>
      </c>
      <c r="Z65" s="14" t="s">
        <v>1000</v>
      </c>
      <c r="AA65" s="14"/>
      <c r="AB65" s="10" t="s">
        <v>195</v>
      </c>
      <c r="AC65" s="10"/>
      <c r="AD65" s="12">
        <f>Table1[[#This Row],[القيمة]]</f>
        <v>21130434.800000001</v>
      </c>
      <c r="AE65" s="8"/>
      <c r="AF65" s="8"/>
      <c r="AG65" s="8"/>
      <c r="AH65" s="8"/>
      <c r="AI65" s="8"/>
      <c r="AJ65" s="8">
        <v>100</v>
      </c>
      <c r="AK65" s="8">
        <v>85.81</v>
      </c>
      <c r="AL65" s="8"/>
      <c r="AM65" s="8"/>
      <c r="AN65" s="8"/>
      <c r="AO65" s="8"/>
      <c r="AP65" s="8"/>
      <c r="AQ65" s="8"/>
      <c r="AR65" s="8"/>
      <c r="AS65" s="8">
        <v>14.19</v>
      </c>
      <c r="AT65" s="54"/>
      <c r="AU65" s="54"/>
    </row>
    <row r="66" spans="1:47" ht="49.95" customHeight="1" x14ac:dyDescent="0.25">
      <c r="A66" s="8">
        <f>SUBTOTAL(3, $J$2:J66)</f>
        <v>65</v>
      </c>
      <c r="B66" s="8"/>
      <c r="C66" s="8" t="s">
        <v>55</v>
      </c>
      <c r="D66" s="8"/>
      <c r="E66" s="8"/>
      <c r="F66" s="8"/>
      <c r="G66" s="8"/>
      <c r="H66" s="8"/>
      <c r="I66" s="8"/>
      <c r="J66" s="41">
        <v>111220033</v>
      </c>
      <c r="K66" s="8" t="s">
        <v>71</v>
      </c>
      <c r="L66" s="9">
        <f>1.15*Table1[[#This Row],[القيمة]]</f>
        <v>18788834.998500001</v>
      </c>
      <c r="M66" s="42" t="s">
        <v>1001</v>
      </c>
      <c r="N66" s="43">
        <v>16338117.390000001</v>
      </c>
      <c r="O66" s="44"/>
      <c r="P66" s="11"/>
      <c r="Q66" s="11"/>
      <c r="R66" s="8" t="s">
        <v>596</v>
      </c>
      <c r="S66" s="42" t="s">
        <v>225</v>
      </c>
      <c r="T66" s="8" t="s">
        <v>60</v>
      </c>
      <c r="U66" s="8" t="s">
        <v>694</v>
      </c>
      <c r="V66" s="41" t="s">
        <v>512</v>
      </c>
      <c r="W66" s="8" t="s">
        <v>52</v>
      </c>
      <c r="X66" s="19" t="s">
        <v>52</v>
      </c>
      <c r="Y66" s="14" t="s">
        <v>1002</v>
      </c>
      <c r="Z66" s="14" t="s">
        <v>1003</v>
      </c>
      <c r="AA66" s="14"/>
      <c r="AB66" s="10" t="s">
        <v>225</v>
      </c>
      <c r="AC66" s="10"/>
      <c r="AD66" s="12">
        <f>Table1[[#This Row],[القيمة]]</f>
        <v>16338117.390000001</v>
      </c>
      <c r="AE66" s="8" t="s">
        <v>695</v>
      </c>
      <c r="AF66" s="8"/>
      <c r="AG66" s="8"/>
      <c r="AH66" s="8"/>
      <c r="AI66" s="8"/>
      <c r="AJ66" s="8"/>
      <c r="AK66" s="8"/>
      <c r="AL66" s="8"/>
      <c r="AM66" s="8"/>
      <c r="AN66" s="8"/>
      <c r="AO66" s="8"/>
      <c r="AP66" s="8"/>
      <c r="AQ66" s="8"/>
      <c r="AR66" s="8"/>
      <c r="AS66" s="8"/>
      <c r="AT66" s="54"/>
      <c r="AU66" s="54"/>
    </row>
    <row r="67" spans="1:47" ht="49.95" customHeight="1" x14ac:dyDescent="0.25">
      <c r="A67" s="8">
        <f>SUBTOTAL(3, $J$2:J67)</f>
        <v>66</v>
      </c>
      <c r="B67" s="8"/>
      <c r="C67" s="8" t="s">
        <v>55</v>
      </c>
      <c r="D67" s="8"/>
      <c r="E67" s="8"/>
      <c r="F67" s="8"/>
      <c r="G67" s="8"/>
      <c r="H67" s="8"/>
      <c r="I67" s="8"/>
      <c r="J67" s="41">
        <v>111220017</v>
      </c>
      <c r="K67" s="97" t="s">
        <v>57</v>
      </c>
      <c r="L67" s="9">
        <f>1.15*Table1[[#This Row],[القيمة]]</f>
        <v>24523332.504000001</v>
      </c>
      <c r="M67" s="42" t="s">
        <v>1011</v>
      </c>
      <c r="N67" s="43">
        <v>21324636.960000001</v>
      </c>
      <c r="O67" s="44"/>
      <c r="P67" s="11"/>
      <c r="Q67" s="11"/>
      <c r="R67" s="8" t="s">
        <v>596</v>
      </c>
      <c r="S67" s="42" t="s">
        <v>626</v>
      </c>
      <c r="T67" s="8" t="s">
        <v>60</v>
      </c>
      <c r="U67" s="8" t="s">
        <v>511</v>
      </c>
      <c r="V67" s="41" t="s">
        <v>512</v>
      </c>
      <c r="W67" s="8" t="s">
        <v>52</v>
      </c>
      <c r="X67" s="19" t="s">
        <v>52</v>
      </c>
      <c r="Y67" s="14" t="s">
        <v>1012</v>
      </c>
      <c r="Z67" s="14" t="s">
        <v>1013</v>
      </c>
      <c r="AA67" s="8"/>
      <c r="AB67" s="10" t="s">
        <v>626</v>
      </c>
      <c r="AC67" s="10"/>
      <c r="AD67" s="12">
        <f>Table1[[#This Row],[القيمة]]</f>
        <v>21324636.960000001</v>
      </c>
      <c r="AE67" s="41" t="s">
        <v>511</v>
      </c>
      <c r="AF67" s="8"/>
      <c r="AG67" s="8"/>
      <c r="AH67" s="8"/>
      <c r="AI67" s="8"/>
      <c r="AJ67" s="8"/>
      <c r="AK67" s="8"/>
      <c r="AL67" s="8"/>
      <c r="AM67" s="8"/>
      <c r="AN67" s="8"/>
      <c r="AO67" s="8"/>
      <c r="AP67" s="8"/>
      <c r="AQ67" s="8"/>
      <c r="AR67" s="8"/>
      <c r="AS67" s="8"/>
      <c r="AT67" s="54"/>
      <c r="AU67" s="54"/>
    </row>
    <row r="68" spans="1:47" ht="49.95" customHeight="1" x14ac:dyDescent="0.25">
      <c r="A68" s="8">
        <f>SUBTOTAL(3, $J$2:J68)</f>
        <v>67</v>
      </c>
      <c r="B68" s="8"/>
      <c r="C68" s="8"/>
      <c r="D68" s="8"/>
      <c r="E68" s="8"/>
      <c r="F68" s="8"/>
      <c r="G68" s="8"/>
      <c r="H68" s="8"/>
      <c r="I68" s="8"/>
      <c r="J68" s="41">
        <v>111220016</v>
      </c>
      <c r="K68" s="97" t="s">
        <v>47</v>
      </c>
      <c r="L68" s="8">
        <f>1.15*Table1[[#This Row],[القيمة]]</f>
        <v>0</v>
      </c>
      <c r="M68" s="42" t="s">
        <v>1014</v>
      </c>
      <c r="N68" s="43"/>
      <c r="O68" s="44"/>
      <c r="P68" s="11"/>
      <c r="Q68" s="11"/>
      <c r="R68" s="8" t="s">
        <v>596</v>
      </c>
      <c r="S68" s="42" t="s">
        <v>892</v>
      </c>
      <c r="T68" s="8"/>
      <c r="U68" s="8" t="s">
        <v>694</v>
      </c>
      <c r="V68" s="41" t="s">
        <v>625</v>
      </c>
      <c r="W68" s="8" t="s">
        <v>52</v>
      </c>
      <c r="X68" s="19" t="s">
        <v>52</v>
      </c>
      <c r="Y68" s="14"/>
      <c r="Z68" s="14">
        <v>45658</v>
      </c>
      <c r="AB68" s="10" t="s">
        <v>892</v>
      </c>
      <c r="AC68" s="10"/>
      <c r="AD68" s="12">
        <f>Table1[[#This Row],[القيمة]]</f>
        <v>0</v>
      </c>
      <c r="AE68" s="8" t="s">
        <v>695</v>
      </c>
      <c r="AF68" s="8"/>
      <c r="AG68" s="8"/>
      <c r="AH68" s="8"/>
      <c r="AI68" s="8"/>
      <c r="AJ68" s="8"/>
      <c r="AK68" s="8"/>
      <c r="AL68" s="8"/>
      <c r="AM68" s="8"/>
      <c r="AN68" s="8"/>
      <c r="AO68" s="8"/>
      <c r="AP68" s="8"/>
      <c r="AQ68" s="8"/>
      <c r="AR68" s="8"/>
      <c r="AS68" s="8"/>
      <c r="AT68" s="54"/>
      <c r="AU68" s="54"/>
    </row>
    <row r="69" spans="1:47" ht="49.95" customHeight="1" x14ac:dyDescent="0.25">
      <c r="A69" s="8">
        <f>SUBTOTAL(3, $J$2:J69)</f>
        <v>68</v>
      </c>
      <c r="B69" s="8"/>
      <c r="C69" s="8" t="s">
        <v>55</v>
      </c>
      <c r="D69" s="8"/>
      <c r="E69" s="8"/>
      <c r="F69" s="8"/>
      <c r="G69" s="8"/>
      <c r="H69" s="8"/>
      <c r="I69" s="8"/>
      <c r="J69" s="41">
        <v>111220015</v>
      </c>
      <c r="K69" s="97" t="s">
        <v>57</v>
      </c>
      <c r="L69" s="102">
        <f>1.15*Table1[[#This Row],[القيمة]]</f>
        <v>35779790.425999999</v>
      </c>
      <c r="M69" s="42" t="s">
        <v>1015</v>
      </c>
      <c r="N69" s="43">
        <v>31112861.239999998</v>
      </c>
      <c r="O69" s="44"/>
      <c r="P69" s="11"/>
      <c r="Q69" s="11"/>
      <c r="R69" s="8" t="s">
        <v>596</v>
      </c>
      <c r="S69" s="42" t="s">
        <v>656</v>
      </c>
      <c r="T69" s="8" t="s">
        <v>60</v>
      </c>
      <c r="U69" s="8" t="s">
        <v>511</v>
      </c>
      <c r="V69" s="41" t="s">
        <v>512</v>
      </c>
      <c r="W69" s="8" t="s">
        <v>52</v>
      </c>
      <c r="X69" s="19" t="s">
        <v>52</v>
      </c>
      <c r="Y69" s="14" t="s">
        <v>1016</v>
      </c>
      <c r="Z69" s="14" t="s">
        <v>1017</v>
      </c>
      <c r="AA69" s="14"/>
      <c r="AB69" s="10" t="s">
        <v>656</v>
      </c>
      <c r="AC69" s="10"/>
      <c r="AD69" s="12">
        <f>Table1[[#This Row],[القيمة]]</f>
        <v>31112861.239999998</v>
      </c>
      <c r="AE69" s="41" t="s">
        <v>511</v>
      </c>
      <c r="AF69" s="8"/>
      <c r="AG69" s="8"/>
      <c r="AH69" s="8"/>
      <c r="AI69" s="8"/>
      <c r="AJ69" s="8"/>
      <c r="AK69" s="8"/>
      <c r="AL69" s="8"/>
      <c r="AM69" s="8"/>
      <c r="AN69" s="8"/>
      <c r="AO69" s="8"/>
      <c r="AP69" s="8"/>
      <c r="AQ69" s="8"/>
      <c r="AR69" s="8"/>
      <c r="AS69" s="8"/>
      <c r="AT69" s="54"/>
      <c r="AU69" s="54"/>
    </row>
    <row r="70" spans="1:47" ht="49.95" customHeight="1" x14ac:dyDescent="0.25">
      <c r="A70" s="8">
        <f>SUBTOTAL(3, $J$2:J70)</f>
        <v>69</v>
      </c>
      <c r="B70" s="8" t="s">
        <v>52</v>
      </c>
      <c r="C70" s="8" t="s">
        <v>55</v>
      </c>
      <c r="D70" s="8"/>
      <c r="E70" s="8"/>
      <c r="F70" s="8"/>
      <c r="G70" s="8"/>
      <c r="H70" s="8"/>
      <c r="I70" s="8"/>
      <c r="J70" s="41">
        <v>111220013</v>
      </c>
      <c r="K70" s="97" t="s">
        <v>47</v>
      </c>
      <c r="L70" s="102">
        <f>1.15*Table1[[#This Row],[القيمة]]</f>
        <v>42567590.675999999</v>
      </c>
      <c r="M70" s="42" t="s">
        <v>1018</v>
      </c>
      <c r="N70" s="109">
        <v>37015296.240000002</v>
      </c>
      <c r="O70" s="44"/>
      <c r="P70" s="11"/>
      <c r="Q70" s="11"/>
      <c r="R70" s="8" t="s">
        <v>596</v>
      </c>
      <c r="S70" s="107" t="s">
        <v>892</v>
      </c>
      <c r="T70" s="8" t="s">
        <v>60</v>
      </c>
      <c r="U70" s="8" t="s">
        <v>694</v>
      </c>
      <c r="V70" s="41" t="s">
        <v>625</v>
      </c>
      <c r="W70" s="8" t="s">
        <v>52</v>
      </c>
      <c r="X70" s="19" t="s">
        <v>52</v>
      </c>
      <c r="Y70" s="14" t="s">
        <v>1019</v>
      </c>
      <c r="Z70" s="14" t="s">
        <v>1020</v>
      </c>
      <c r="AA70" s="8"/>
      <c r="AB70" s="10" t="s">
        <v>892</v>
      </c>
      <c r="AC70" s="10"/>
      <c r="AD70" s="12">
        <f>Table1[[#This Row],[القيمة]]</f>
        <v>37015296.240000002</v>
      </c>
      <c r="AE70" s="8" t="s">
        <v>695</v>
      </c>
      <c r="AF70" s="8"/>
      <c r="AG70" s="8"/>
      <c r="AH70" s="8"/>
      <c r="AI70" s="8" t="s">
        <v>114</v>
      </c>
      <c r="AJ70" s="8">
        <v>100</v>
      </c>
      <c r="AK70" s="8">
        <v>22.06</v>
      </c>
      <c r="AL70" s="8"/>
      <c r="AM70" s="8"/>
      <c r="AN70" s="8"/>
      <c r="AO70" s="8">
        <v>0</v>
      </c>
      <c r="AP70" s="8">
        <v>0</v>
      </c>
      <c r="AQ70" s="8"/>
      <c r="AR70" s="8">
        <v>36</v>
      </c>
      <c r="AS70" s="8">
        <v>77.94</v>
      </c>
      <c r="AT70" s="54"/>
      <c r="AU70" s="54"/>
    </row>
    <row r="71" spans="1:47" ht="49.95" customHeight="1" x14ac:dyDescent="0.25">
      <c r="A71" s="8">
        <f>SUBTOTAL(3, $J$2:J71)</f>
        <v>70</v>
      </c>
      <c r="B71" s="8"/>
      <c r="C71" s="8"/>
      <c r="D71" s="8"/>
      <c r="E71" s="8"/>
      <c r="F71" s="8"/>
      <c r="G71" s="8"/>
      <c r="H71" s="8"/>
      <c r="I71" s="8"/>
      <c r="J71" s="41">
        <v>111220012</v>
      </c>
      <c r="K71" s="97" t="s">
        <v>47</v>
      </c>
      <c r="L71" s="103">
        <f>1.15*Table1[[#This Row],[القيمة]]</f>
        <v>0</v>
      </c>
      <c r="M71" s="44" t="s">
        <v>1021</v>
      </c>
      <c r="N71" s="43"/>
      <c r="O71" s="44"/>
      <c r="P71" s="11"/>
      <c r="Q71" s="11"/>
      <c r="R71" s="8" t="s">
        <v>596</v>
      </c>
      <c r="S71" s="42" t="s">
        <v>892</v>
      </c>
      <c r="T71" s="8"/>
      <c r="U71" s="8" t="s">
        <v>694</v>
      </c>
      <c r="V71" s="41" t="s">
        <v>625</v>
      </c>
      <c r="W71" s="8" t="s">
        <v>52</v>
      </c>
      <c r="X71" s="19" t="s">
        <v>52</v>
      </c>
      <c r="Y71" s="14"/>
      <c r="Z71" s="14">
        <v>45658</v>
      </c>
      <c r="AA71" s="35"/>
      <c r="AB71" s="10" t="s">
        <v>892</v>
      </c>
      <c r="AC71" s="10"/>
      <c r="AD71" s="12">
        <f>Table1[[#This Row],[القيمة]]</f>
        <v>0</v>
      </c>
      <c r="AE71" s="8" t="s">
        <v>695</v>
      </c>
      <c r="AF71" s="8"/>
      <c r="AG71" s="8"/>
      <c r="AH71" s="8"/>
      <c r="AI71" s="8"/>
      <c r="AJ71" s="8"/>
      <c r="AK71" s="8"/>
      <c r="AL71" s="8"/>
      <c r="AM71" s="8"/>
      <c r="AN71" s="8"/>
      <c r="AO71" s="10"/>
      <c r="AP71" s="8"/>
      <c r="AQ71" s="8"/>
      <c r="AR71" s="8"/>
      <c r="AS71" s="8"/>
      <c r="AT71" s="54"/>
      <c r="AU71" s="54"/>
    </row>
    <row r="72" spans="1:47" ht="49.95" customHeight="1" x14ac:dyDescent="0.25">
      <c r="A72" s="8">
        <f>SUBTOTAL(3, $J$2:J72)</f>
        <v>71</v>
      </c>
      <c r="B72" s="8"/>
      <c r="C72" s="8" t="s">
        <v>55</v>
      </c>
      <c r="D72" s="8"/>
      <c r="E72" s="8"/>
      <c r="F72" s="8"/>
      <c r="G72" s="8"/>
      <c r="H72" s="8"/>
      <c r="I72" s="8"/>
      <c r="J72" s="8">
        <v>0</v>
      </c>
      <c r="K72" s="97" t="s">
        <v>57</v>
      </c>
      <c r="L72" s="102">
        <f>1.15*Table1[[#This Row],[القيمة]]</f>
        <v>143721849.50650001</v>
      </c>
      <c r="M72" s="10" t="s">
        <v>1027</v>
      </c>
      <c r="N72" s="11">
        <v>124975521.31</v>
      </c>
      <c r="O72" s="20"/>
      <c r="P72" s="11"/>
      <c r="Q72" s="11"/>
      <c r="R72" s="8" t="s">
        <v>49</v>
      </c>
      <c r="S72" s="10" t="s">
        <v>565</v>
      </c>
      <c r="T72" s="8" t="s">
        <v>60</v>
      </c>
      <c r="U72" s="17" t="s">
        <v>369</v>
      </c>
      <c r="V72" s="8" t="s">
        <v>369</v>
      </c>
      <c r="W72" s="8" t="s">
        <v>52</v>
      </c>
      <c r="X72" s="19" t="s">
        <v>52</v>
      </c>
      <c r="Y72" s="14" t="s">
        <v>1028</v>
      </c>
      <c r="Z72" s="14" t="s">
        <v>1029</v>
      </c>
      <c r="AA72" s="14"/>
      <c r="AB72" s="10" t="s">
        <v>565</v>
      </c>
      <c r="AC72" s="10"/>
      <c r="AD72" s="12">
        <f>Table1[[#This Row],[القيمة]]</f>
        <v>124975521.31</v>
      </c>
      <c r="AE72" s="8"/>
      <c r="AF72" s="17" t="s">
        <v>369</v>
      </c>
      <c r="AG72" s="8"/>
      <c r="AH72" s="8"/>
      <c r="AI72" s="8"/>
      <c r="AJ72" s="8"/>
      <c r="AK72" s="8"/>
      <c r="AL72" s="8"/>
      <c r="AM72" s="8"/>
      <c r="AN72" s="8"/>
      <c r="AO72" s="8"/>
      <c r="AP72" s="8"/>
      <c r="AQ72" s="8"/>
      <c r="AR72" s="8"/>
      <c r="AS72" s="8"/>
      <c r="AT72" s="54"/>
      <c r="AU72" s="54"/>
    </row>
    <row r="73" spans="1:47" ht="49.95" customHeight="1" x14ac:dyDescent="0.25">
      <c r="A73" s="13">
        <f>SUBTOTAL(3, $J$2:J74)</f>
        <v>71</v>
      </c>
      <c r="B73" s="8"/>
      <c r="C73" s="8" t="s">
        <v>55</v>
      </c>
      <c r="D73" s="8"/>
      <c r="E73" s="8"/>
      <c r="F73" s="8"/>
      <c r="G73" s="8"/>
      <c r="H73" s="8"/>
      <c r="I73" s="8"/>
      <c r="J73" s="8"/>
      <c r="K73" s="97" t="s">
        <v>57</v>
      </c>
      <c r="L73" s="102">
        <f>1.15*Table1[[#This Row],[القيمة]]</f>
        <v>44843905</v>
      </c>
      <c r="M73" s="20" t="s">
        <v>1032</v>
      </c>
      <c r="N73" s="11">
        <v>38994700</v>
      </c>
      <c r="O73" s="20"/>
      <c r="P73" s="11"/>
      <c r="Q73" s="11"/>
      <c r="R73" s="8" t="s">
        <v>49</v>
      </c>
      <c r="S73" s="10" t="s">
        <v>1033</v>
      </c>
      <c r="T73" s="8" t="s">
        <v>60</v>
      </c>
      <c r="U73" s="8" t="s">
        <v>369</v>
      </c>
      <c r="V73" s="8" t="s">
        <v>369</v>
      </c>
      <c r="W73" s="8" t="s">
        <v>52</v>
      </c>
      <c r="X73" s="19" t="s">
        <v>52</v>
      </c>
      <c r="Y73" s="14">
        <v>41949</v>
      </c>
      <c r="Z73" s="14">
        <v>42656</v>
      </c>
      <c r="AA73" s="14"/>
      <c r="AB73" s="10" t="s">
        <v>1033</v>
      </c>
      <c r="AC73" s="10"/>
      <c r="AD73" s="12">
        <f>Table1[[#This Row],[القيمة]]</f>
        <v>38994700</v>
      </c>
      <c r="AE73" s="8"/>
      <c r="AF73" s="8" t="s">
        <v>369</v>
      </c>
      <c r="AG73" s="8"/>
      <c r="AH73" s="8"/>
      <c r="AI73" s="8"/>
      <c r="AJ73" s="8"/>
      <c r="AK73" s="8"/>
      <c r="AL73" s="8"/>
      <c r="AM73" s="8"/>
      <c r="AN73" s="8"/>
      <c r="AO73" s="8"/>
      <c r="AP73" s="8"/>
      <c r="AQ73" s="8"/>
      <c r="AR73" s="8"/>
      <c r="AS73" s="8"/>
      <c r="AT73" s="54"/>
      <c r="AU73" s="54"/>
    </row>
    <row r="74" spans="1:47" ht="49.95" customHeight="1" x14ac:dyDescent="0.25">
      <c r="A74" s="13">
        <f>SUBTOTAL(3, $J$2:J76)</f>
        <v>73</v>
      </c>
      <c r="B74" s="8"/>
      <c r="C74" s="8" t="s">
        <v>55</v>
      </c>
      <c r="D74" s="8"/>
      <c r="E74" s="8"/>
      <c r="F74" s="8"/>
      <c r="G74" s="8"/>
      <c r="H74" s="8"/>
      <c r="I74" s="8"/>
      <c r="J74" s="8"/>
      <c r="K74" s="97" t="s">
        <v>57</v>
      </c>
      <c r="L74" s="102">
        <f>1.15*Table1[[#This Row],[القيمة]]</f>
        <v>107595366.54499999</v>
      </c>
      <c r="M74" s="20" t="s">
        <v>1034</v>
      </c>
      <c r="N74" s="11">
        <v>93561188.299999997</v>
      </c>
      <c r="O74" s="20"/>
      <c r="P74" s="11"/>
      <c r="Q74" s="11"/>
      <c r="R74" s="8" t="s">
        <v>49</v>
      </c>
      <c r="S74" s="10" t="s">
        <v>1035</v>
      </c>
      <c r="T74" s="8" t="s">
        <v>60</v>
      </c>
      <c r="U74" s="8" t="s">
        <v>369</v>
      </c>
      <c r="V74" s="8" t="s">
        <v>369</v>
      </c>
      <c r="W74" s="8" t="s">
        <v>52</v>
      </c>
      <c r="X74" s="19" t="s">
        <v>52</v>
      </c>
      <c r="Y74" s="14">
        <v>40917</v>
      </c>
      <c r="Z74" s="14">
        <v>42480</v>
      </c>
      <c r="AA74" s="14"/>
      <c r="AB74" s="10" t="s">
        <v>1035</v>
      </c>
      <c r="AC74" s="10"/>
      <c r="AD74" s="12">
        <f>Table1[[#This Row],[القيمة]]</f>
        <v>93561188.299999997</v>
      </c>
      <c r="AE74" s="8"/>
      <c r="AF74" s="8" t="s">
        <v>369</v>
      </c>
      <c r="AG74" s="8"/>
      <c r="AH74" s="8"/>
      <c r="AI74" s="8"/>
      <c r="AJ74" s="8"/>
      <c r="AK74" s="8"/>
      <c r="AL74" s="8"/>
      <c r="AM74" s="8"/>
      <c r="AN74" s="8"/>
      <c r="AO74" s="8"/>
      <c r="AP74" s="8"/>
      <c r="AQ74" s="8"/>
      <c r="AR74" s="8"/>
      <c r="AS74" s="8"/>
      <c r="AT74" s="54"/>
      <c r="AU74" s="54"/>
    </row>
    <row r="75" spans="1:47" ht="49.95" customHeight="1" x14ac:dyDescent="0.25">
      <c r="A75" s="8">
        <f>SUBTOTAL(3, $J$2:J75)</f>
        <v>72</v>
      </c>
      <c r="B75" s="8" t="s">
        <v>180</v>
      </c>
      <c r="C75" s="8" t="s">
        <v>55</v>
      </c>
      <c r="D75" s="8"/>
      <c r="E75" s="8"/>
      <c r="F75" s="8"/>
      <c r="G75" s="8"/>
      <c r="H75" s="8"/>
      <c r="I75" s="8"/>
      <c r="J75" s="8">
        <v>121240165</v>
      </c>
      <c r="K75" s="8" t="s">
        <v>47</v>
      </c>
      <c r="L75" s="9">
        <f>1.15*Table1[[#This Row],[القيمة]]</f>
        <v>10421461</v>
      </c>
      <c r="M75" s="10" t="s">
        <v>538</v>
      </c>
      <c r="N75" s="11">
        <v>9062140</v>
      </c>
      <c r="O75" s="20"/>
      <c r="P75" s="11"/>
      <c r="Q75" s="11"/>
      <c r="R75" s="8" t="s">
        <v>49</v>
      </c>
      <c r="S75" s="10" t="s">
        <v>202</v>
      </c>
      <c r="T75" s="8" t="s">
        <v>60</v>
      </c>
      <c r="U75" s="17" t="s">
        <v>369</v>
      </c>
      <c r="V75" s="8" t="s">
        <v>369</v>
      </c>
      <c r="W75" s="8" t="s">
        <v>52</v>
      </c>
      <c r="X75" s="8" t="s">
        <v>539</v>
      </c>
      <c r="Y75" s="14" t="s">
        <v>540</v>
      </c>
      <c r="Z75" s="14" t="s">
        <v>541</v>
      </c>
      <c r="AA75" s="14"/>
      <c r="AB75" s="10" t="s">
        <v>202</v>
      </c>
      <c r="AC75" s="10"/>
      <c r="AD75" s="12">
        <f>Table1[[#This Row],[القيمة]]</f>
        <v>9062140</v>
      </c>
      <c r="AE75" s="8"/>
      <c r="AF75" s="17" t="s">
        <v>369</v>
      </c>
      <c r="AG75" s="8"/>
      <c r="AH75" s="8"/>
      <c r="AI75" s="8" t="s">
        <v>114</v>
      </c>
      <c r="AJ75" s="8">
        <v>84.11</v>
      </c>
      <c r="AK75" s="8">
        <v>84.11</v>
      </c>
      <c r="AL75" s="8"/>
      <c r="AM75" s="8"/>
      <c r="AN75" s="8"/>
      <c r="AO75" s="8">
        <v>0</v>
      </c>
      <c r="AP75" s="8">
        <v>0</v>
      </c>
      <c r="AQ75" s="8"/>
      <c r="AR75" s="8">
        <v>0</v>
      </c>
      <c r="AS75" s="8">
        <v>0</v>
      </c>
      <c r="AT75" s="54"/>
      <c r="AU75" s="54"/>
    </row>
    <row r="76" spans="1:47" ht="49.95" customHeight="1" x14ac:dyDescent="0.25">
      <c r="A76" s="8">
        <f>SUBTOTAL(3, $J$2:J76)</f>
        <v>73</v>
      </c>
      <c r="B76" s="8"/>
      <c r="C76" s="8" t="s">
        <v>55</v>
      </c>
      <c r="D76" s="8"/>
      <c r="E76" s="8"/>
      <c r="F76" s="8"/>
      <c r="G76" s="8"/>
      <c r="H76" s="8"/>
      <c r="I76" s="8"/>
      <c r="J76" s="8">
        <v>141240080</v>
      </c>
      <c r="K76" s="8" t="s">
        <v>57</v>
      </c>
      <c r="L76" s="9">
        <f>1.15*Table1[[#This Row],[القيمة]]</f>
        <v>488657.99999999994</v>
      </c>
      <c r="M76" s="21" t="s">
        <v>208</v>
      </c>
      <c r="N76" s="22">
        <v>424920</v>
      </c>
      <c r="O76" s="65"/>
      <c r="P76" s="22"/>
      <c r="Q76" s="22"/>
      <c r="R76" s="8" t="s">
        <v>68</v>
      </c>
      <c r="S76" s="21" t="s">
        <v>209</v>
      </c>
      <c r="T76" s="19" t="s">
        <v>60</v>
      </c>
      <c r="U76" s="19" t="s">
        <v>117</v>
      </c>
      <c r="V76" s="19" t="s">
        <v>117</v>
      </c>
      <c r="W76" s="46" t="s">
        <v>210</v>
      </c>
      <c r="X76" s="46" t="s">
        <v>210</v>
      </c>
      <c r="Y76" s="14">
        <v>45474</v>
      </c>
      <c r="Z76" s="14">
        <v>45658</v>
      </c>
      <c r="AA76" s="14"/>
      <c r="AB76" s="10" t="s">
        <v>209</v>
      </c>
      <c r="AC76" s="10"/>
      <c r="AD76" s="12">
        <f>Table1[[#This Row],[القيمة]]</f>
        <v>424920</v>
      </c>
      <c r="AE76" s="8"/>
      <c r="AF76" s="8"/>
      <c r="AG76" s="19" t="s">
        <v>117</v>
      </c>
      <c r="AH76" s="8"/>
      <c r="AI76" s="8"/>
      <c r="AJ76" s="8"/>
      <c r="AK76" s="8"/>
      <c r="AL76" s="8"/>
      <c r="AM76" s="8"/>
      <c r="AN76" s="8"/>
      <c r="AO76" s="8"/>
      <c r="AP76" s="8"/>
      <c r="AQ76" s="8"/>
      <c r="AR76" s="8"/>
      <c r="AS76" s="8"/>
      <c r="AT76" s="54"/>
      <c r="AU76" s="54"/>
    </row>
    <row r="77" spans="1:47" ht="49.95" customHeight="1" x14ac:dyDescent="0.25">
      <c r="A77" s="54">
        <f>SUBTOTAL(3, $J$2:J77)</f>
        <v>73</v>
      </c>
      <c r="B77" s="54"/>
      <c r="C77" s="54"/>
      <c r="D77" s="8"/>
      <c r="E77" s="8"/>
      <c r="F77" s="8"/>
      <c r="G77" s="8"/>
      <c r="H77" s="8"/>
      <c r="I77" s="8"/>
      <c r="J77" s="54"/>
      <c r="K77" s="101" t="s">
        <v>57</v>
      </c>
      <c r="L77" s="105">
        <f>1.15*Table1[[#This Row],[القيمة]]</f>
        <v>19832059.349999998</v>
      </c>
      <c r="M77" s="90" t="s">
        <v>1030</v>
      </c>
      <c r="N77" s="11">
        <v>17245269</v>
      </c>
      <c r="O77" s="66"/>
      <c r="P77" s="91"/>
      <c r="Q77" s="91"/>
      <c r="R77" s="54" t="s">
        <v>49</v>
      </c>
      <c r="S77" s="90" t="s">
        <v>1031</v>
      </c>
      <c r="T77" s="54"/>
      <c r="U77" s="8" t="s">
        <v>358</v>
      </c>
      <c r="V77" s="54"/>
      <c r="W77" s="54" t="s">
        <v>210</v>
      </c>
      <c r="X77" s="54" t="s">
        <v>210</v>
      </c>
      <c r="Y77" s="55"/>
      <c r="Z77" s="55">
        <v>46209</v>
      </c>
      <c r="AA77" s="55"/>
      <c r="AB77" s="90"/>
      <c r="AC77" s="56"/>
      <c r="AD77" s="57">
        <f>Table1[[#This Row],[القيمة]]</f>
        <v>17245269</v>
      </c>
      <c r="AE77" s="54"/>
      <c r="AF77" s="8" t="s">
        <v>358</v>
      </c>
      <c r="AG77" s="54"/>
      <c r="AH77" s="54"/>
      <c r="AI77" s="54"/>
      <c r="AJ77" s="54"/>
      <c r="AK77" s="54"/>
      <c r="AL77" s="54"/>
      <c r="AM77" s="8"/>
      <c r="AN77" s="8"/>
      <c r="AO77" s="54"/>
      <c r="AP77" s="54"/>
      <c r="AQ77" s="54"/>
      <c r="AR77" s="54"/>
      <c r="AS77" s="54"/>
      <c r="AT77" s="54"/>
      <c r="AU77" s="54"/>
    </row>
    <row r="78" spans="1:47" ht="49.95" customHeight="1" x14ac:dyDescent="0.25">
      <c r="A78" s="13">
        <f>SUBTOTAL(3, $J$2:J82)</f>
        <v>76</v>
      </c>
      <c r="B78" s="8"/>
      <c r="C78" s="8" t="s">
        <v>55</v>
      </c>
      <c r="D78" s="8"/>
      <c r="E78" s="8"/>
      <c r="F78" s="8"/>
      <c r="G78" s="8"/>
      <c r="H78" s="8"/>
      <c r="I78" s="8"/>
      <c r="J78" s="8"/>
      <c r="K78" s="97" t="s">
        <v>57</v>
      </c>
      <c r="L78" s="102">
        <f>1.15*Table1[[#This Row],[القيمة]]</f>
        <v>9752459.5399999991</v>
      </c>
      <c r="M78" s="20" t="s">
        <v>1036</v>
      </c>
      <c r="N78" s="11">
        <v>8480399.5999999996</v>
      </c>
      <c r="O78" s="20"/>
      <c r="P78" s="11"/>
      <c r="Q78" s="11"/>
      <c r="R78" s="8" t="s">
        <v>49</v>
      </c>
      <c r="S78" s="10" t="s">
        <v>1037</v>
      </c>
      <c r="T78" s="8" t="s">
        <v>60</v>
      </c>
      <c r="U78" s="8" t="s">
        <v>51</v>
      </c>
      <c r="V78" s="8" t="s">
        <v>51</v>
      </c>
      <c r="W78" s="8" t="s">
        <v>52</v>
      </c>
      <c r="X78" s="19" t="s">
        <v>210</v>
      </c>
      <c r="Y78" s="14"/>
      <c r="Z78" s="14"/>
      <c r="AA78" s="14"/>
      <c r="AB78" s="10" t="s">
        <v>1038</v>
      </c>
      <c r="AC78" s="10"/>
      <c r="AD78" s="12">
        <f>Table1[[#This Row],[القيمة]]</f>
        <v>8480399.5999999996</v>
      </c>
      <c r="AE78" s="8"/>
      <c r="AF78" s="8" t="s">
        <v>51</v>
      </c>
      <c r="AG78" s="8"/>
      <c r="AH78" s="8"/>
      <c r="AI78" s="8"/>
      <c r="AJ78" s="8"/>
      <c r="AK78" s="8"/>
      <c r="AL78" s="8"/>
      <c r="AM78" s="8"/>
      <c r="AN78" s="8"/>
      <c r="AO78" s="8"/>
      <c r="AP78" s="8"/>
      <c r="AQ78" s="8"/>
      <c r="AR78" s="8"/>
      <c r="AS78" s="8"/>
      <c r="AT78" s="54"/>
      <c r="AU78" s="54"/>
    </row>
    <row r="79" spans="1:47" ht="49.95" customHeight="1" x14ac:dyDescent="0.25">
      <c r="A79" s="13">
        <f>SUBTOTAL(3, $J$2:J82)</f>
        <v>76</v>
      </c>
      <c r="B79" s="8"/>
      <c r="C79" s="8" t="s">
        <v>55</v>
      </c>
      <c r="D79" s="8"/>
      <c r="E79" s="8"/>
      <c r="F79" s="8"/>
      <c r="G79" s="8"/>
      <c r="H79" s="8"/>
      <c r="I79" s="8"/>
      <c r="J79" s="8"/>
      <c r="K79" s="97" t="s">
        <v>57</v>
      </c>
      <c r="L79" s="102">
        <f>1.15*Table1[[#This Row],[القيمة]]</f>
        <v>22966107.199999999</v>
      </c>
      <c r="M79" s="20" t="s">
        <v>1039</v>
      </c>
      <c r="N79" s="11">
        <v>19970528</v>
      </c>
      <c r="O79" s="20"/>
      <c r="P79" s="11"/>
      <c r="Q79" s="11"/>
      <c r="R79" s="8" t="s">
        <v>49</v>
      </c>
      <c r="S79" s="10" t="s">
        <v>1040</v>
      </c>
      <c r="T79" s="8" t="s">
        <v>60</v>
      </c>
      <c r="U79" s="8" t="s">
        <v>51</v>
      </c>
      <c r="V79" s="8" t="s">
        <v>51</v>
      </c>
      <c r="W79" s="8" t="s">
        <v>52</v>
      </c>
      <c r="X79" s="19" t="s">
        <v>210</v>
      </c>
      <c r="Y79" s="14"/>
      <c r="Z79" s="14"/>
      <c r="AA79" s="14"/>
      <c r="AB79" s="10" t="s">
        <v>160</v>
      </c>
      <c r="AC79" s="10"/>
      <c r="AD79" s="12">
        <f>Table1[[#This Row],[القيمة]]</f>
        <v>19970528</v>
      </c>
      <c r="AE79" s="8"/>
      <c r="AF79" s="8" t="s">
        <v>51</v>
      </c>
      <c r="AG79" s="8"/>
      <c r="AH79" s="8"/>
      <c r="AI79" s="8"/>
      <c r="AJ79" s="8"/>
      <c r="AK79" s="8"/>
      <c r="AL79" s="8"/>
      <c r="AM79" s="8"/>
      <c r="AN79" s="8"/>
      <c r="AO79" s="8"/>
      <c r="AP79" s="8"/>
      <c r="AQ79" s="8"/>
      <c r="AR79" s="8"/>
      <c r="AS79" s="8"/>
      <c r="AT79" s="54"/>
      <c r="AU79" s="54"/>
    </row>
    <row r="80" spans="1:47" ht="49.95" customHeight="1" x14ac:dyDescent="0.25">
      <c r="A80" s="8">
        <f>SUBTOTAL(3, $J$2:J80)</f>
        <v>74</v>
      </c>
      <c r="B80" s="8"/>
      <c r="C80" s="8" t="s">
        <v>55</v>
      </c>
      <c r="D80" s="8"/>
      <c r="E80" s="8"/>
      <c r="F80" s="8"/>
      <c r="G80" s="8"/>
      <c r="H80" s="8"/>
      <c r="I80" s="8"/>
      <c r="J80" s="8">
        <v>141250235</v>
      </c>
      <c r="K80" s="8" t="s">
        <v>57</v>
      </c>
      <c r="L80" s="9">
        <f>1.15*Table1[[#This Row],[القيمة]]</f>
        <v>129995999.99999999</v>
      </c>
      <c r="M80" s="10" t="s">
        <v>115</v>
      </c>
      <c r="N80" s="11">
        <v>113040000</v>
      </c>
      <c r="O80" s="20"/>
      <c r="P80" s="11"/>
      <c r="Q80" s="11"/>
      <c r="R80" s="8" t="s">
        <v>68</v>
      </c>
      <c r="S80" s="8" t="s">
        <v>116</v>
      </c>
      <c r="T80" s="8" t="s">
        <v>60</v>
      </c>
      <c r="U80" s="8" t="s">
        <v>117</v>
      </c>
      <c r="V80" s="8" t="s">
        <v>117</v>
      </c>
      <c r="W80" s="8" t="s">
        <v>118</v>
      </c>
      <c r="X80" s="8" t="s">
        <v>118</v>
      </c>
      <c r="Y80" s="14" t="s">
        <v>119</v>
      </c>
      <c r="Z80" s="14" t="s">
        <v>120</v>
      </c>
      <c r="AA80" s="8"/>
      <c r="AB80" s="10" t="s">
        <v>116</v>
      </c>
      <c r="AC80" s="10"/>
      <c r="AD80" s="12">
        <f>Table1[[#This Row],[القيمة]]</f>
        <v>113040000</v>
      </c>
      <c r="AE80" s="8"/>
      <c r="AF80" s="8"/>
      <c r="AG80" s="8" t="s">
        <v>117</v>
      </c>
      <c r="AH80" s="8"/>
      <c r="AI80" s="8"/>
      <c r="AJ80" s="8"/>
      <c r="AK80" s="8"/>
      <c r="AL80" s="8"/>
      <c r="AM80" s="8"/>
      <c r="AN80" s="8"/>
      <c r="AO80" s="8"/>
      <c r="AP80" s="8">
        <v>6</v>
      </c>
      <c r="AQ80" s="8"/>
      <c r="AR80" s="8"/>
      <c r="AS80" s="8"/>
      <c r="AT80" s="54"/>
      <c r="AU80" s="54"/>
    </row>
    <row r="81" spans="1:47" ht="49.95" customHeight="1" x14ac:dyDescent="0.25">
      <c r="A81" s="8">
        <f>SUBTOTAL(3, $J$2:J81)</f>
        <v>75</v>
      </c>
      <c r="B81" s="8"/>
      <c r="C81" s="8" t="s">
        <v>55</v>
      </c>
      <c r="D81" s="8"/>
      <c r="E81" s="8"/>
      <c r="F81" s="8"/>
      <c r="G81" s="8"/>
      <c r="H81" s="8"/>
      <c r="I81" s="8"/>
      <c r="J81" s="8">
        <v>141250144</v>
      </c>
      <c r="K81" s="8" t="s">
        <v>57</v>
      </c>
      <c r="L81" s="9">
        <f>1.15*Table1[[#This Row],[القيمة]]</f>
        <v>2396611.5</v>
      </c>
      <c r="M81" s="10" t="s">
        <v>134</v>
      </c>
      <c r="N81" s="11">
        <v>2084010</v>
      </c>
      <c r="O81" s="20"/>
      <c r="P81" s="11"/>
      <c r="Q81" s="11"/>
      <c r="R81" s="8" t="s">
        <v>68</v>
      </c>
      <c r="S81" s="8" t="s">
        <v>135</v>
      </c>
      <c r="T81" s="8" t="s">
        <v>60</v>
      </c>
      <c r="U81" s="8" t="s">
        <v>117</v>
      </c>
      <c r="V81" s="8" t="s">
        <v>117</v>
      </c>
      <c r="W81" s="8" t="s">
        <v>118</v>
      </c>
      <c r="X81" s="8" t="s">
        <v>118</v>
      </c>
      <c r="Y81" s="14" t="s">
        <v>136</v>
      </c>
      <c r="Z81" s="14" t="s">
        <v>137</v>
      </c>
      <c r="AA81" s="8"/>
      <c r="AB81" s="10" t="s">
        <v>135</v>
      </c>
      <c r="AC81" s="10"/>
      <c r="AD81" s="12">
        <f>Table1[[#This Row],[القيمة]]</f>
        <v>2084010</v>
      </c>
      <c r="AE81" s="8"/>
      <c r="AF81" s="8"/>
      <c r="AG81" s="8" t="s">
        <v>117</v>
      </c>
      <c r="AH81" s="8"/>
      <c r="AI81" s="8"/>
      <c r="AJ81" s="8"/>
      <c r="AK81" s="8"/>
      <c r="AL81" s="8"/>
      <c r="AM81" s="8"/>
      <c r="AN81" s="8"/>
      <c r="AO81" s="8">
        <v>0</v>
      </c>
      <c r="AP81" s="8">
        <v>0</v>
      </c>
      <c r="AQ81" s="8"/>
      <c r="AR81" s="8"/>
      <c r="AS81" s="8"/>
      <c r="AT81" s="54"/>
      <c r="AU81" s="54"/>
    </row>
    <row r="82" spans="1:47" ht="49.95" customHeight="1" x14ac:dyDescent="0.25">
      <c r="A82" s="8">
        <f>SUBTOTAL(3, $J$2:J82)</f>
        <v>76</v>
      </c>
      <c r="B82" s="8" t="s">
        <v>91</v>
      </c>
      <c r="C82" s="8" t="s">
        <v>55</v>
      </c>
      <c r="D82" s="8"/>
      <c r="E82" s="8"/>
      <c r="F82" s="8"/>
      <c r="G82" s="8"/>
      <c r="H82" s="8" t="s">
        <v>423</v>
      </c>
      <c r="I82" s="8" t="s">
        <v>424</v>
      </c>
      <c r="J82" s="8">
        <v>121250171</v>
      </c>
      <c r="K82" s="8" t="s">
        <v>47</v>
      </c>
      <c r="L82" s="9">
        <f>1.15*Table1[[#This Row],[القيمة]]</f>
        <v>1199507.5</v>
      </c>
      <c r="M82" s="10" t="s">
        <v>425</v>
      </c>
      <c r="N82" s="11">
        <v>1043050</v>
      </c>
      <c r="O82" s="20"/>
      <c r="P82" s="11" t="s">
        <v>426</v>
      </c>
      <c r="Q82" s="11" t="s">
        <v>379</v>
      </c>
      <c r="R82" s="8" t="s">
        <v>49</v>
      </c>
      <c r="S82" s="10" t="s">
        <v>427</v>
      </c>
      <c r="T82" s="8" t="s">
        <v>60</v>
      </c>
      <c r="U82" s="8" t="s">
        <v>380</v>
      </c>
      <c r="V82" s="8" t="s">
        <v>380</v>
      </c>
      <c r="W82" s="8" t="s">
        <v>428</v>
      </c>
      <c r="X82" s="8" t="s">
        <v>428</v>
      </c>
      <c r="Y82" s="14">
        <v>45852</v>
      </c>
      <c r="Z82" s="14">
        <v>45911</v>
      </c>
      <c r="AA82" s="8"/>
      <c r="AB82" s="10" t="s">
        <v>427</v>
      </c>
      <c r="AC82" s="10" t="s">
        <v>91</v>
      </c>
      <c r="AD82" s="12">
        <f>Table1[[#This Row],[القيمة]]</f>
        <v>1043050</v>
      </c>
      <c r="AE82" s="8"/>
      <c r="AF82" s="8" t="s">
        <v>380</v>
      </c>
      <c r="AG82" s="8"/>
      <c r="AH82" s="8"/>
      <c r="AI82" s="8"/>
      <c r="AJ82" s="8">
        <v>100</v>
      </c>
      <c r="AK82" s="8">
        <v>0</v>
      </c>
      <c r="AL82" s="8"/>
      <c r="AM82" s="8" t="s">
        <v>428</v>
      </c>
      <c r="AN82" s="8" t="s">
        <v>428</v>
      </c>
      <c r="AO82" s="8"/>
      <c r="AP82" s="8"/>
      <c r="AQ82" s="8"/>
      <c r="AR82" s="8"/>
      <c r="AS82" s="8">
        <v>100</v>
      </c>
      <c r="AT82" s="54"/>
      <c r="AU82" s="54"/>
    </row>
    <row r="83" spans="1:47" ht="49.95" customHeight="1" x14ac:dyDescent="0.25">
      <c r="A83" s="8">
        <f>SUBTOTAL(3, $J$2:J83)</f>
        <v>77</v>
      </c>
      <c r="B83" s="8" t="s">
        <v>180</v>
      </c>
      <c r="C83" s="8" t="s">
        <v>55</v>
      </c>
      <c r="D83" s="8"/>
      <c r="E83" s="8"/>
      <c r="F83" s="8"/>
      <c r="G83" s="8"/>
      <c r="H83" s="8" t="s">
        <v>573</v>
      </c>
      <c r="I83" s="8" t="s">
        <v>574</v>
      </c>
      <c r="J83" s="8">
        <v>121210064</v>
      </c>
      <c r="K83" s="8" t="s">
        <v>47</v>
      </c>
      <c r="L83" s="9">
        <f>1.15*Table1[[#This Row],[القيمة]]</f>
        <v>28406149.424999997</v>
      </c>
      <c r="M83" s="10" t="s">
        <v>575</v>
      </c>
      <c r="N83" s="11">
        <v>24700999.5</v>
      </c>
      <c r="O83" s="20"/>
      <c r="P83" s="11" t="s">
        <v>215</v>
      </c>
      <c r="Q83" s="11" t="s">
        <v>400</v>
      </c>
      <c r="R83" s="8" t="s">
        <v>49</v>
      </c>
      <c r="S83" s="10" t="s">
        <v>427</v>
      </c>
      <c r="T83" s="8" t="s">
        <v>60</v>
      </c>
      <c r="U83" s="8" t="s">
        <v>369</v>
      </c>
      <c r="V83" s="8" t="s">
        <v>369</v>
      </c>
      <c r="W83" s="8" t="s">
        <v>428</v>
      </c>
      <c r="X83" s="8" t="s">
        <v>428</v>
      </c>
      <c r="Y83" s="14">
        <v>43983</v>
      </c>
      <c r="Z83" s="14">
        <v>44713</v>
      </c>
      <c r="AA83" s="8"/>
      <c r="AB83" s="10" t="s">
        <v>427</v>
      </c>
      <c r="AC83" s="10" t="s">
        <v>90</v>
      </c>
      <c r="AD83" s="12">
        <f>Table1[[#This Row],[القيمة]]</f>
        <v>24700999.5</v>
      </c>
      <c r="AE83" s="8"/>
      <c r="AF83" s="8" t="s">
        <v>369</v>
      </c>
      <c r="AG83" s="8"/>
      <c r="AH83" s="8"/>
      <c r="AI83" s="8"/>
      <c r="AJ83" s="8">
        <v>100</v>
      </c>
      <c r="AK83" s="8">
        <v>7.2</v>
      </c>
      <c r="AL83" s="8"/>
      <c r="AM83" s="8" t="s">
        <v>428</v>
      </c>
      <c r="AN83" s="8" t="s">
        <v>428</v>
      </c>
      <c r="AO83" s="8">
        <v>0</v>
      </c>
      <c r="AP83" s="8">
        <v>0</v>
      </c>
      <c r="AQ83" s="8"/>
      <c r="AR83" s="8"/>
      <c r="AS83" s="8">
        <v>92.8</v>
      </c>
      <c r="AT83" s="54"/>
      <c r="AU83" s="54"/>
    </row>
    <row r="84" spans="1:47" ht="49.95" customHeight="1" x14ac:dyDescent="0.25">
      <c r="A84" s="8">
        <f>SUBTOTAL(3, $J$2:J84)</f>
        <v>78</v>
      </c>
      <c r="B84" s="8" t="s">
        <v>317</v>
      </c>
      <c r="C84" s="8" t="s">
        <v>55</v>
      </c>
      <c r="D84" s="8">
        <v>45.279563000000003</v>
      </c>
      <c r="E84" s="8">
        <v>17.631347999999999</v>
      </c>
      <c r="F84" s="8">
        <v>109150</v>
      </c>
      <c r="G84" s="8">
        <v>51906</v>
      </c>
      <c r="H84" s="8" t="s">
        <v>318</v>
      </c>
      <c r="I84" s="8" t="s">
        <v>319</v>
      </c>
      <c r="J84" s="8">
        <v>131240134</v>
      </c>
      <c r="K84" s="8" t="s">
        <v>47</v>
      </c>
      <c r="L84" s="9">
        <f>1.15*Table1[[#This Row],[القيمة]]</f>
        <v>238524161.67499998</v>
      </c>
      <c r="M84" s="10" t="s">
        <v>320</v>
      </c>
      <c r="N84" s="11">
        <v>207412314.5</v>
      </c>
      <c r="O84" s="20" t="s">
        <v>321</v>
      </c>
      <c r="P84" s="11" t="s">
        <v>238</v>
      </c>
      <c r="Q84" s="11" t="s">
        <v>63</v>
      </c>
      <c r="R84" s="8" t="s">
        <v>63</v>
      </c>
      <c r="S84" s="10" t="s">
        <v>287</v>
      </c>
      <c r="T84" s="8" t="s">
        <v>60</v>
      </c>
      <c r="U84" s="8" t="s">
        <v>65</v>
      </c>
      <c r="V84" s="8" t="s">
        <v>65</v>
      </c>
      <c r="W84" s="8" t="s">
        <v>87</v>
      </c>
      <c r="X84" s="8" t="s">
        <v>322</v>
      </c>
      <c r="Y84" s="14">
        <v>45536</v>
      </c>
      <c r="Z84" s="14">
        <v>46508</v>
      </c>
      <c r="AA84" s="8"/>
      <c r="AB84" s="10" t="s">
        <v>287</v>
      </c>
      <c r="AC84" s="10" t="s">
        <v>91</v>
      </c>
      <c r="AD84" s="12">
        <f>Table1[[#This Row],[القيمة]]</f>
        <v>207412314.5</v>
      </c>
      <c r="AE84" s="8"/>
      <c r="AF84" s="8"/>
      <c r="AG84" s="8"/>
      <c r="AH84" s="46" t="s">
        <v>65</v>
      </c>
      <c r="AI84" s="8" t="s">
        <v>133</v>
      </c>
      <c r="AJ84" s="8">
        <v>42.29</v>
      </c>
      <c r="AK84" s="8">
        <v>42.09</v>
      </c>
      <c r="AL84" s="8">
        <v>0.2</v>
      </c>
      <c r="AM84" s="8" t="s">
        <v>105</v>
      </c>
      <c r="AN84" s="8" t="s">
        <v>105</v>
      </c>
      <c r="AO84" s="8">
        <v>0</v>
      </c>
      <c r="AP84" s="8">
        <v>0</v>
      </c>
      <c r="AQ84" s="8"/>
      <c r="AR84" s="8">
        <v>120</v>
      </c>
      <c r="AS84" s="8">
        <v>-2.31</v>
      </c>
      <c r="AT84" s="54"/>
      <c r="AU84" s="54"/>
    </row>
    <row r="85" spans="1:47" ht="49.95" customHeight="1" x14ac:dyDescent="0.25">
      <c r="A85" s="8">
        <f>SUBTOTAL(3, $J$2:J85)</f>
        <v>79</v>
      </c>
      <c r="B85" s="8" t="s">
        <v>180</v>
      </c>
      <c r="C85" s="8" t="s">
        <v>47</v>
      </c>
      <c r="D85" s="8">
        <v>44.378630999999999</v>
      </c>
      <c r="E85" s="8">
        <v>17.618704999999999</v>
      </c>
      <c r="F85" s="8">
        <v>0</v>
      </c>
      <c r="G85" s="8">
        <v>0</v>
      </c>
      <c r="H85" s="8" t="s">
        <v>328</v>
      </c>
      <c r="I85" s="8" t="s">
        <v>329</v>
      </c>
      <c r="J85" s="8">
        <v>131240120</v>
      </c>
      <c r="K85" s="8" t="s">
        <v>47</v>
      </c>
      <c r="L85" s="9">
        <f>1.15*Table1[[#This Row],[القيمة]]</f>
        <v>64316576.699999996</v>
      </c>
      <c r="M85" s="10" t="s">
        <v>330</v>
      </c>
      <c r="N85" s="11">
        <v>55927458</v>
      </c>
      <c r="O85" s="20" t="s">
        <v>331</v>
      </c>
      <c r="P85" s="11" t="s">
        <v>96</v>
      </c>
      <c r="Q85" s="11" t="s">
        <v>63</v>
      </c>
      <c r="R85" s="8" t="s">
        <v>63</v>
      </c>
      <c r="S85" s="10" t="s">
        <v>332</v>
      </c>
      <c r="T85" s="8" t="s">
        <v>60</v>
      </c>
      <c r="U85" s="8" t="s">
        <v>65</v>
      </c>
      <c r="V85" s="8" t="s">
        <v>65</v>
      </c>
      <c r="W85" s="8" t="s">
        <v>87</v>
      </c>
      <c r="X85" s="8" t="s">
        <v>322</v>
      </c>
      <c r="Y85" s="14">
        <v>45546</v>
      </c>
      <c r="Z85" s="14">
        <v>46508</v>
      </c>
      <c r="AA85" s="8"/>
      <c r="AB85" s="10" t="s">
        <v>333</v>
      </c>
      <c r="AC85" s="10" t="s">
        <v>90</v>
      </c>
      <c r="AD85" s="12">
        <f>Table1[[#This Row],[القيمة]]</f>
        <v>55927458</v>
      </c>
      <c r="AE85" s="8"/>
      <c r="AF85" s="8"/>
      <c r="AG85" s="8"/>
      <c r="AH85" s="46" t="s">
        <v>65</v>
      </c>
      <c r="AI85" s="8" t="s">
        <v>114</v>
      </c>
      <c r="AJ85" s="8">
        <v>25.93</v>
      </c>
      <c r="AK85" s="8">
        <v>25.29</v>
      </c>
      <c r="AL85" s="8">
        <v>0.64</v>
      </c>
      <c r="AM85" s="8" t="s">
        <v>105</v>
      </c>
      <c r="AN85" s="8" t="s">
        <v>105</v>
      </c>
      <c r="AO85" s="8">
        <v>1</v>
      </c>
      <c r="AP85" s="8">
        <v>0</v>
      </c>
      <c r="AQ85" s="8"/>
      <c r="AR85" s="8">
        <v>0</v>
      </c>
      <c r="AS85" s="8">
        <v>-0.16</v>
      </c>
      <c r="AT85" s="54"/>
      <c r="AU85" s="54"/>
    </row>
    <row r="86" spans="1:47" ht="49.95" customHeight="1" x14ac:dyDescent="0.25">
      <c r="A86" s="8">
        <f>SUBTOTAL(3, $J$2:J86)</f>
        <v>80</v>
      </c>
      <c r="B86" s="8" t="s">
        <v>44</v>
      </c>
      <c r="C86" s="8" t="s">
        <v>55</v>
      </c>
      <c r="D86" s="8">
        <v>42.655324</v>
      </c>
      <c r="E86" s="8">
        <v>17.172533999999999</v>
      </c>
      <c r="F86" s="8">
        <v>78000.02</v>
      </c>
      <c r="G86" s="8">
        <v>7207</v>
      </c>
      <c r="H86" s="8" t="s">
        <v>503</v>
      </c>
      <c r="I86" s="8" t="s">
        <v>504</v>
      </c>
      <c r="J86" s="8">
        <v>121240297</v>
      </c>
      <c r="K86" s="8" t="s">
        <v>47</v>
      </c>
      <c r="L86" s="9">
        <f>1.15*Table1[[#This Row],[القيمة]]</f>
        <v>85887586.699999988</v>
      </c>
      <c r="M86" s="10" t="s">
        <v>505</v>
      </c>
      <c r="N86" s="11">
        <v>74684858</v>
      </c>
      <c r="O86" s="20" t="s">
        <v>506</v>
      </c>
      <c r="P86" s="11" t="s">
        <v>440</v>
      </c>
      <c r="Q86" s="11" t="s">
        <v>395</v>
      </c>
      <c r="R86" s="8" t="s">
        <v>49</v>
      </c>
      <c r="S86" s="10" t="s">
        <v>98</v>
      </c>
      <c r="T86" s="8" t="s">
        <v>60</v>
      </c>
      <c r="U86" s="8" t="s">
        <v>388</v>
      </c>
      <c r="V86" s="8" t="s">
        <v>389</v>
      </c>
      <c r="W86" s="8" t="s">
        <v>87</v>
      </c>
      <c r="X86" s="8" t="s">
        <v>322</v>
      </c>
      <c r="Y86" s="14">
        <v>45622</v>
      </c>
      <c r="Z86" s="14">
        <v>46753</v>
      </c>
      <c r="AA86" s="8"/>
      <c r="AB86" s="10" t="s">
        <v>59</v>
      </c>
      <c r="AC86" s="10" t="s">
        <v>90</v>
      </c>
      <c r="AD86" s="12">
        <f>Table1[[#This Row],[القيمة]]</f>
        <v>74684858</v>
      </c>
      <c r="AE86" s="8"/>
      <c r="AF86" s="8" t="s">
        <v>388</v>
      </c>
      <c r="AG86" s="8"/>
      <c r="AH86" s="8"/>
      <c r="AI86" s="8" t="s">
        <v>114</v>
      </c>
      <c r="AJ86" s="8">
        <v>12.95</v>
      </c>
      <c r="AK86" s="8">
        <v>11.45</v>
      </c>
      <c r="AL86" s="8">
        <v>1.5</v>
      </c>
      <c r="AM86" s="8" t="s">
        <v>105</v>
      </c>
      <c r="AN86" s="8" t="s">
        <v>105</v>
      </c>
      <c r="AO86" s="8">
        <v>0</v>
      </c>
      <c r="AP86" s="8">
        <v>4</v>
      </c>
      <c r="AQ86" s="8"/>
      <c r="AR86" s="8">
        <v>0</v>
      </c>
      <c r="AS86" s="8">
        <v>-0.59</v>
      </c>
      <c r="AT86" s="54" t="s">
        <v>475</v>
      </c>
      <c r="AU86" s="54"/>
    </row>
    <row r="87" spans="1:47" ht="49.95" customHeight="1" x14ac:dyDescent="0.25">
      <c r="A87" s="8">
        <f>SUBTOTAL(3, $J$2:J87)</f>
        <v>81</v>
      </c>
      <c r="B87" s="8" t="s">
        <v>126</v>
      </c>
      <c r="C87" s="8" t="s">
        <v>47</v>
      </c>
      <c r="D87" s="8">
        <v>42.478290000000001</v>
      </c>
      <c r="E87" s="8">
        <v>18.259209999999999</v>
      </c>
      <c r="F87" s="8">
        <v>12460</v>
      </c>
      <c r="G87" s="8">
        <v>8240</v>
      </c>
      <c r="H87" s="8" t="s">
        <v>684</v>
      </c>
      <c r="I87" s="8" t="s">
        <v>685</v>
      </c>
      <c r="J87" s="8">
        <v>111250156</v>
      </c>
      <c r="K87" s="8" t="s">
        <v>47</v>
      </c>
      <c r="L87" s="9">
        <f>1.15*Table1[[#This Row],[القيمة]]</f>
        <v>21614077.5</v>
      </c>
      <c r="M87" s="10" t="s">
        <v>686</v>
      </c>
      <c r="N87" s="11">
        <v>18794850</v>
      </c>
      <c r="O87" s="20" t="s">
        <v>164</v>
      </c>
      <c r="P87" s="11" t="s">
        <v>111</v>
      </c>
      <c r="Q87" s="11" t="s">
        <v>687</v>
      </c>
      <c r="R87" s="8" t="s">
        <v>596</v>
      </c>
      <c r="S87" s="10" t="s">
        <v>688</v>
      </c>
      <c r="T87" s="8" t="s">
        <v>60</v>
      </c>
      <c r="U87" s="8" t="s">
        <v>689</v>
      </c>
      <c r="V87" s="8" t="s">
        <v>689</v>
      </c>
      <c r="W87" s="8" t="s">
        <v>105</v>
      </c>
      <c r="X87" s="8" t="s">
        <v>322</v>
      </c>
      <c r="Y87" s="14">
        <v>45839</v>
      </c>
      <c r="Z87" s="14">
        <v>46442</v>
      </c>
      <c r="AA87" s="8"/>
      <c r="AB87" s="10" t="s">
        <v>688</v>
      </c>
      <c r="AC87" s="10" t="s">
        <v>90</v>
      </c>
      <c r="AD87" s="12">
        <f>Table1[[#This Row],[القيمة]]</f>
        <v>18794850</v>
      </c>
      <c r="AE87" s="8" t="s">
        <v>689</v>
      </c>
      <c r="AF87" s="97"/>
      <c r="AG87" s="8"/>
      <c r="AH87" s="8"/>
      <c r="AI87" s="8" t="s">
        <v>298</v>
      </c>
      <c r="AJ87" s="8">
        <v>33.76</v>
      </c>
      <c r="AK87" s="8">
        <v>38.86</v>
      </c>
      <c r="AL87" s="8">
        <v>-5.0999999999999996</v>
      </c>
      <c r="AM87" s="8" t="s">
        <v>105</v>
      </c>
      <c r="AN87" s="8" t="s">
        <v>105</v>
      </c>
      <c r="AO87" s="8">
        <v>0</v>
      </c>
      <c r="AP87" s="8">
        <v>0</v>
      </c>
      <c r="AQ87" s="8"/>
      <c r="AR87" s="8">
        <v>2</v>
      </c>
      <c r="AS87" s="8">
        <v>-3.64</v>
      </c>
      <c r="AT87" s="54"/>
      <c r="AU87" s="54"/>
    </row>
    <row r="88" spans="1:47" ht="49.95" customHeight="1" x14ac:dyDescent="0.25">
      <c r="A88" s="54">
        <f>SUBTOTAL(3, $J$2:J88)</f>
        <v>82</v>
      </c>
      <c r="B88" s="54"/>
      <c r="C88" s="54" t="s">
        <v>55</v>
      </c>
      <c r="D88" s="54"/>
      <c r="E88" s="54"/>
      <c r="F88" s="54"/>
      <c r="G88" s="54"/>
      <c r="H88" s="8"/>
      <c r="I88" s="8"/>
      <c r="J88" s="54">
        <v>141260136</v>
      </c>
      <c r="K88" s="54" t="s">
        <v>71</v>
      </c>
      <c r="L88" s="9">
        <f>1.15*Table1[[#This Row],[القيمة]]</f>
        <v>402384.99999999994</v>
      </c>
      <c r="M88" s="58" t="s">
        <v>72</v>
      </c>
      <c r="N88" s="59">
        <v>349900</v>
      </c>
      <c r="O88" s="70"/>
      <c r="P88" s="59"/>
      <c r="Q88" s="59"/>
      <c r="R88" s="46" t="s">
        <v>68</v>
      </c>
      <c r="S88" s="62" t="s">
        <v>73</v>
      </c>
      <c r="T88" s="54"/>
      <c r="U88" s="19" t="s">
        <v>74</v>
      </c>
      <c r="V88" s="54"/>
      <c r="W88" s="54" t="s">
        <v>75</v>
      </c>
      <c r="X88" s="54" t="s">
        <v>75</v>
      </c>
      <c r="Y88" s="55"/>
      <c r="Z88" s="55"/>
      <c r="AA88" s="55" t="s">
        <v>76</v>
      </c>
      <c r="AB88" s="56" t="s">
        <v>73</v>
      </c>
      <c r="AC88" s="56"/>
      <c r="AD88" s="57">
        <f>Table1[[#This Row],[القيمة]]</f>
        <v>349900</v>
      </c>
      <c r="AE88" s="54"/>
      <c r="AF88" s="54"/>
      <c r="AG88" s="19" t="s">
        <v>74</v>
      </c>
      <c r="AH88" s="54"/>
      <c r="AI88" s="54"/>
      <c r="AJ88" s="54"/>
      <c r="AK88" s="54"/>
      <c r="AL88" s="54"/>
      <c r="AM88" s="8"/>
      <c r="AN88" s="8"/>
      <c r="AO88" s="54"/>
      <c r="AP88" s="54"/>
      <c r="AQ88" s="54"/>
      <c r="AR88" s="54"/>
      <c r="AS88" s="54"/>
      <c r="AT88" s="54"/>
      <c r="AU88" s="54"/>
    </row>
    <row r="89" spans="1:47" ht="49.95" customHeight="1" x14ac:dyDescent="0.25">
      <c r="A89" s="54">
        <f>SUBTOTAL(3, $J$2:J89)</f>
        <v>83</v>
      </c>
      <c r="B89" s="54"/>
      <c r="C89" s="54" t="s">
        <v>55</v>
      </c>
      <c r="D89" s="54"/>
      <c r="E89" s="54"/>
      <c r="F89" s="54"/>
      <c r="G89" s="54"/>
      <c r="H89" s="8"/>
      <c r="I89" s="8"/>
      <c r="J89" s="8">
        <v>141260127</v>
      </c>
      <c r="K89" s="8" t="s">
        <v>47</v>
      </c>
      <c r="L89" s="9">
        <f>1.15*Table1[[#This Row],[القيمة]]</f>
        <v>5150672.3249999993</v>
      </c>
      <c r="M89" s="81" t="s">
        <v>77</v>
      </c>
      <c r="N89" s="61">
        <v>4478845.5</v>
      </c>
      <c r="O89" s="69"/>
      <c r="P89" s="61"/>
      <c r="Q89" s="61"/>
      <c r="R89" s="46" t="s">
        <v>68</v>
      </c>
      <c r="S89" s="15" t="s">
        <v>78</v>
      </c>
      <c r="T89" s="8" t="s">
        <v>60</v>
      </c>
      <c r="U89" s="8" t="s">
        <v>79</v>
      </c>
      <c r="V89" s="8"/>
      <c r="W89" s="54" t="s">
        <v>75</v>
      </c>
      <c r="X89" s="54" t="s">
        <v>75</v>
      </c>
      <c r="Y89" s="55"/>
      <c r="Z89" s="55"/>
      <c r="AA89" s="55" t="s">
        <v>76</v>
      </c>
      <c r="AB89" s="15" t="s">
        <v>78</v>
      </c>
      <c r="AC89" s="56"/>
      <c r="AD89" s="57">
        <f>Table1[[#This Row],[القيمة]]</f>
        <v>4478845.5</v>
      </c>
      <c r="AE89" s="54"/>
      <c r="AF89" s="54"/>
      <c r="AG89" s="8" t="s">
        <v>79</v>
      </c>
      <c r="AH89" s="54"/>
      <c r="AI89" s="54"/>
      <c r="AJ89" s="54"/>
      <c r="AK89" s="54"/>
      <c r="AL89" s="54"/>
      <c r="AM89" s="8"/>
      <c r="AN89" s="8"/>
      <c r="AO89" s="54"/>
      <c r="AP89" s="54"/>
      <c r="AQ89" s="54"/>
      <c r="AR89" s="54"/>
      <c r="AS89" s="54"/>
      <c r="AT89" s="54"/>
      <c r="AU89" s="54"/>
    </row>
    <row r="90" spans="1:47" ht="49.95" customHeight="1" x14ac:dyDescent="0.25">
      <c r="A90" s="8">
        <f>SUBTOTAL(3, $J$2:J90)</f>
        <v>84</v>
      </c>
      <c r="B90" s="8"/>
      <c r="C90" s="8" t="s">
        <v>80</v>
      </c>
      <c r="D90" s="8">
        <v>41.380280999999997</v>
      </c>
      <c r="E90" s="8">
        <v>19.704554000000002</v>
      </c>
      <c r="F90" s="8">
        <v>84700</v>
      </c>
      <c r="G90" s="8">
        <v>28000</v>
      </c>
      <c r="H90" s="8" t="s">
        <v>81</v>
      </c>
      <c r="I90" s="8" t="s">
        <v>82</v>
      </c>
      <c r="J90" s="8">
        <v>141250324</v>
      </c>
      <c r="K90" s="8" t="s">
        <v>47</v>
      </c>
      <c r="L90" s="9">
        <f>1.15*Table1[[#This Row],[القيمة]]</f>
        <v>96943347.369499996</v>
      </c>
      <c r="M90" s="10" t="s">
        <v>83</v>
      </c>
      <c r="N90" s="11">
        <v>84298562.930000007</v>
      </c>
      <c r="O90" s="20" t="s">
        <v>84</v>
      </c>
      <c r="P90" s="11"/>
      <c r="Q90" s="11"/>
      <c r="R90" s="8" t="s">
        <v>68</v>
      </c>
      <c r="S90" s="10" t="s">
        <v>85</v>
      </c>
      <c r="T90" s="8" t="s">
        <v>60</v>
      </c>
      <c r="U90" s="8" t="s">
        <v>86</v>
      </c>
      <c r="V90" s="8" t="s">
        <v>86</v>
      </c>
      <c r="W90" s="8" t="s">
        <v>87</v>
      </c>
      <c r="X90" s="8" t="s">
        <v>75</v>
      </c>
      <c r="Y90" s="14">
        <v>46140</v>
      </c>
      <c r="Z90" s="14">
        <v>46625</v>
      </c>
      <c r="AA90" s="18" t="s">
        <v>88</v>
      </c>
      <c r="AB90" s="10" t="s">
        <v>89</v>
      </c>
      <c r="AC90" s="10" t="s">
        <v>90</v>
      </c>
      <c r="AD90" s="12">
        <f>Table1[[#This Row],[القيمة]]</f>
        <v>84298562.930000007</v>
      </c>
      <c r="AE90" s="8"/>
      <c r="AF90" s="8"/>
      <c r="AG90" s="8" t="s">
        <v>86</v>
      </c>
      <c r="AH90" s="8"/>
      <c r="AI90" s="8"/>
      <c r="AJ90" s="8">
        <v>0.98</v>
      </c>
      <c r="AK90" s="8">
        <v>0</v>
      </c>
      <c r="AL90" s="8">
        <v>0.98</v>
      </c>
      <c r="AM90" s="8" t="s">
        <v>87</v>
      </c>
      <c r="AN90" s="8" t="s">
        <v>87</v>
      </c>
      <c r="AO90" s="8"/>
      <c r="AP90" s="8"/>
      <c r="AQ90" s="8"/>
      <c r="AR90" s="8"/>
      <c r="AS90" s="8">
        <v>0</v>
      </c>
      <c r="AT90" s="54"/>
      <c r="AU90" s="54"/>
    </row>
    <row r="91" spans="1:47" ht="49.95" customHeight="1" x14ac:dyDescent="0.25">
      <c r="A91" s="8">
        <f>SUBTOTAL(3, $J$2:J91)</f>
        <v>85</v>
      </c>
      <c r="B91" s="8" t="s">
        <v>91</v>
      </c>
      <c r="C91" s="8" t="s">
        <v>47</v>
      </c>
      <c r="D91" s="8">
        <v>41.323982999999998</v>
      </c>
      <c r="E91" s="8">
        <v>19.785799000000001</v>
      </c>
      <c r="F91" s="8">
        <v>70770</v>
      </c>
      <c r="G91" s="8">
        <v>0</v>
      </c>
      <c r="H91" s="8" t="s">
        <v>92</v>
      </c>
      <c r="I91" s="8" t="s">
        <v>93</v>
      </c>
      <c r="J91" s="8">
        <v>141250290</v>
      </c>
      <c r="K91" s="8" t="s">
        <v>47</v>
      </c>
      <c r="L91" s="9">
        <f>1.15*Table1[[#This Row],[القيمة]]</f>
        <v>43470000</v>
      </c>
      <c r="M91" s="10" t="s">
        <v>94</v>
      </c>
      <c r="N91" s="11">
        <v>37800000</v>
      </c>
      <c r="O91" s="20" t="s">
        <v>95</v>
      </c>
      <c r="P91" s="11" t="s">
        <v>96</v>
      </c>
      <c r="Q91" s="11" t="s">
        <v>97</v>
      </c>
      <c r="R91" s="8" t="s">
        <v>68</v>
      </c>
      <c r="S91" s="8" t="s">
        <v>98</v>
      </c>
      <c r="T91" s="8" t="s">
        <v>60</v>
      </c>
      <c r="U91" s="8" t="s">
        <v>86</v>
      </c>
      <c r="V91" s="19" t="s">
        <v>86</v>
      </c>
      <c r="W91" s="8" t="s">
        <v>87</v>
      </c>
      <c r="X91" s="8" t="s">
        <v>75</v>
      </c>
      <c r="Y91" s="14">
        <v>46023</v>
      </c>
      <c r="Z91" s="14">
        <v>47266</v>
      </c>
      <c r="AA91" s="14"/>
      <c r="AB91" s="10" t="s">
        <v>59</v>
      </c>
      <c r="AC91" s="10" t="s">
        <v>91</v>
      </c>
      <c r="AD91" s="12">
        <f>Table1[[#This Row],[القيمة]]</f>
        <v>37800000</v>
      </c>
      <c r="AE91" s="8"/>
      <c r="AF91" s="8"/>
      <c r="AG91" s="8" t="s">
        <v>86</v>
      </c>
      <c r="AH91" s="8"/>
      <c r="AI91" s="8"/>
      <c r="AJ91" s="8">
        <v>1.31</v>
      </c>
      <c r="AK91" s="8">
        <v>1.25</v>
      </c>
      <c r="AL91" s="8">
        <v>0.06</v>
      </c>
      <c r="AM91" s="8" t="s">
        <v>87</v>
      </c>
      <c r="AN91" s="8" t="s">
        <v>87</v>
      </c>
      <c r="AO91" s="8"/>
      <c r="AP91" s="8"/>
      <c r="AQ91" s="8"/>
      <c r="AR91" s="8"/>
      <c r="AS91" s="8">
        <v>0.62</v>
      </c>
      <c r="AT91" s="54"/>
      <c r="AU91" s="54"/>
    </row>
    <row r="92" spans="1:47" ht="49.95" customHeight="1" x14ac:dyDescent="0.25">
      <c r="A92" s="8">
        <f>SUBTOTAL(3, $J$2:J92)</f>
        <v>86</v>
      </c>
      <c r="B92" s="8" t="s">
        <v>91</v>
      </c>
      <c r="C92" s="8" t="s">
        <v>47</v>
      </c>
      <c r="D92" s="8">
        <v>41.607605999999997</v>
      </c>
      <c r="E92" s="8">
        <v>19.953789</v>
      </c>
      <c r="F92" s="8">
        <v>39800</v>
      </c>
      <c r="G92" s="8">
        <v>0</v>
      </c>
      <c r="H92" s="8" t="s">
        <v>99</v>
      </c>
      <c r="I92" s="8" t="s">
        <v>100</v>
      </c>
      <c r="J92" s="8">
        <v>141250252</v>
      </c>
      <c r="K92" s="8" t="s">
        <v>47</v>
      </c>
      <c r="L92" s="9">
        <f>1.15*Table1[[#This Row],[القيمة]]</f>
        <v>21318987.5</v>
      </c>
      <c r="M92" s="10" t="s">
        <v>101</v>
      </c>
      <c r="N92" s="11">
        <v>18538250</v>
      </c>
      <c r="O92" s="20" t="s">
        <v>102</v>
      </c>
      <c r="P92" s="11" t="s">
        <v>96</v>
      </c>
      <c r="Q92" s="11" t="s">
        <v>103</v>
      </c>
      <c r="R92" s="8" t="s">
        <v>68</v>
      </c>
      <c r="S92" s="8" t="s">
        <v>104</v>
      </c>
      <c r="T92" s="8" t="s">
        <v>60</v>
      </c>
      <c r="U92" s="8" t="s">
        <v>74</v>
      </c>
      <c r="V92" s="8" t="s">
        <v>74</v>
      </c>
      <c r="W92" s="8" t="s">
        <v>105</v>
      </c>
      <c r="X92" s="8" t="s">
        <v>75</v>
      </c>
      <c r="Y92" s="14">
        <v>45977</v>
      </c>
      <c r="Z92" s="14">
        <v>47030</v>
      </c>
      <c r="AA92" s="8"/>
      <c r="AB92" s="10" t="s">
        <v>106</v>
      </c>
      <c r="AC92" s="10" t="s">
        <v>91</v>
      </c>
      <c r="AD92" s="12">
        <f>Table1[[#This Row],[القيمة]]</f>
        <v>18538250</v>
      </c>
      <c r="AE92" s="8"/>
      <c r="AF92" s="8"/>
      <c r="AG92" s="8" t="s">
        <v>74</v>
      </c>
      <c r="AH92" s="8"/>
      <c r="AI92" s="8"/>
      <c r="AJ92" s="8">
        <v>2.85</v>
      </c>
      <c r="AK92" s="8">
        <v>4.9400000000000004</v>
      </c>
      <c r="AL92" s="8">
        <v>-2.09</v>
      </c>
      <c r="AM92" s="8" t="s">
        <v>87</v>
      </c>
      <c r="AN92" s="8" t="s">
        <v>87</v>
      </c>
      <c r="AO92" s="8"/>
      <c r="AP92" s="8"/>
      <c r="AQ92" s="8"/>
      <c r="AR92" s="8"/>
      <c r="AS92" s="8">
        <v>0.4</v>
      </c>
      <c r="AT92" s="54"/>
      <c r="AU92" s="54"/>
    </row>
    <row r="93" spans="1:47" ht="49.95" customHeight="1" x14ac:dyDescent="0.25">
      <c r="A93" s="8">
        <f>SUBTOTAL(3, $J$2:J93)</f>
        <v>87</v>
      </c>
      <c r="B93" s="8" t="s">
        <v>91</v>
      </c>
      <c r="C93" s="8" t="s">
        <v>47</v>
      </c>
      <c r="D93" s="8">
        <v>41.369607999999999</v>
      </c>
      <c r="E93" s="8">
        <v>19.838280999999998</v>
      </c>
      <c r="F93" s="8">
        <v>35280</v>
      </c>
      <c r="G93" s="8">
        <v>800</v>
      </c>
      <c r="H93" s="8" t="s">
        <v>107</v>
      </c>
      <c r="I93" s="8" t="s">
        <v>108</v>
      </c>
      <c r="J93" s="8">
        <v>141250247</v>
      </c>
      <c r="K93" s="8" t="s">
        <v>47</v>
      </c>
      <c r="L93" s="9">
        <f>1.15*Table1[[#This Row],[القيمة]]</f>
        <v>17934544.399999999</v>
      </c>
      <c r="M93" s="10" t="s">
        <v>109</v>
      </c>
      <c r="N93" s="11">
        <v>15595256</v>
      </c>
      <c r="O93" s="20" t="s">
        <v>110</v>
      </c>
      <c r="P93" s="11" t="s">
        <v>111</v>
      </c>
      <c r="Q93" s="11" t="s">
        <v>112</v>
      </c>
      <c r="R93" s="8" t="s">
        <v>68</v>
      </c>
      <c r="S93" s="8" t="s">
        <v>113</v>
      </c>
      <c r="T93" s="8" t="s">
        <v>60</v>
      </c>
      <c r="U93" s="8" t="s">
        <v>70</v>
      </c>
      <c r="V93" s="8" t="s">
        <v>70</v>
      </c>
      <c r="W93" s="8" t="s">
        <v>87</v>
      </c>
      <c r="X93" s="8" t="s">
        <v>75</v>
      </c>
      <c r="Y93" s="14">
        <v>45951</v>
      </c>
      <c r="Z93" s="14">
        <v>46862</v>
      </c>
      <c r="AA93" s="14"/>
      <c r="AB93" s="10" t="s">
        <v>113</v>
      </c>
      <c r="AC93" s="8" t="s">
        <v>91</v>
      </c>
      <c r="AD93" s="12">
        <f>Table1[[#This Row],[القيمة]]</f>
        <v>15595256</v>
      </c>
      <c r="AE93" s="8"/>
      <c r="AF93" s="8"/>
      <c r="AG93" s="8" t="s">
        <v>70</v>
      </c>
      <c r="AH93" s="8"/>
      <c r="AI93" s="8" t="s">
        <v>114</v>
      </c>
      <c r="AJ93" s="8">
        <v>7.37</v>
      </c>
      <c r="AK93" s="8">
        <v>2.7</v>
      </c>
      <c r="AL93" s="8">
        <v>4.67</v>
      </c>
      <c r="AM93" s="8" t="s">
        <v>87</v>
      </c>
      <c r="AN93" s="8" t="s">
        <v>87</v>
      </c>
      <c r="AO93" s="8"/>
      <c r="AP93" s="8"/>
      <c r="AQ93" s="8"/>
      <c r="AR93" s="8">
        <v>51</v>
      </c>
      <c r="AS93" s="8">
        <v>2.21</v>
      </c>
      <c r="AT93" s="54"/>
      <c r="AU93" s="54"/>
    </row>
    <row r="94" spans="1:47" ht="49.95" customHeight="1" x14ac:dyDescent="0.25">
      <c r="A94" s="8">
        <f>SUBTOTAL(3, $J$2:J94)</f>
        <v>88</v>
      </c>
      <c r="B94" s="8" t="s">
        <v>91</v>
      </c>
      <c r="C94" s="8" t="s">
        <v>47</v>
      </c>
      <c r="D94" s="8">
        <v>41.456318000000003</v>
      </c>
      <c r="E94" s="8">
        <v>19.731439999999999</v>
      </c>
      <c r="F94" s="8">
        <v>41500</v>
      </c>
      <c r="G94" s="8">
        <v>1400</v>
      </c>
      <c r="H94" s="8" t="s">
        <v>121</v>
      </c>
      <c r="I94" s="8" t="s">
        <v>122</v>
      </c>
      <c r="J94" s="8">
        <v>141250179</v>
      </c>
      <c r="K94" s="8" t="s">
        <v>47</v>
      </c>
      <c r="L94" s="9">
        <f>1.15*Table1[[#This Row],[القيمة]]</f>
        <v>52879932.499999993</v>
      </c>
      <c r="M94" s="10" t="s">
        <v>123</v>
      </c>
      <c r="N94" s="11">
        <v>45982550</v>
      </c>
      <c r="O94" s="20" t="s">
        <v>124</v>
      </c>
      <c r="P94" s="11" t="s">
        <v>96</v>
      </c>
      <c r="Q94" s="11" t="s">
        <v>112</v>
      </c>
      <c r="R94" s="8" t="s">
        <v>68</v>
      </c>
      <c r="S94" s="8" t="s">
        <v>125</v>
      </c>
      <c r="T94" s="8" t="s">
        <v>60</v>
      </c>
      <c r="U94" s="8" t="s">
        <v>79</v>
      </c>
      <c r="V94" s="8" t="s">
        <v>79</v>
      </c>
      <c r="W94" s="8" t="s">
        <v>105</v>
      </c>
      <c r="X94" s="8" t="s">
        <v>75</v>
      </c>
      <c r="Y94" s="14">
        <v>45971</v>
      </c>
      <c r="Z94" s="14">
        <v>47017</v>
      </c>
      <c r="AA94" s="14"/>
      <c r="AB94" s="10" t="s">
        <v>125</v>
      </c>
      <c r="AC94" s="8" t="s">
        <v>90</v>
      </c>
      <c r="AD94" s="12">
        <f>Table1[[#This Row],[القيمة]]</f>
        <v>45982550</v>
      </c>
      <c r="AE94" s="8"/>
      <c r="AF94" s="8"/>
      <c r="AG94" s="8" t="s">
        <v>79</v>
      </c>
      <c r="AH94" s="8"/>
      <c r="AI94" s="8"/>
      <c r="AJ94" s="8">
        <v>3.79</v>
      </c>
      <c r="AK94" s="8">
        <v>5.9</v>
      </c>
      <c r="AL94" s="8">
        <v>-2.11</v>
      </c>
      <c r="AM94" s="8" t="s">
        <v>105</v>
      </c>
      <c r="AN94" s="8" t="s">
        <v>105</v>
      </c>
      <c r="AO94" s="8"/>
      <c r="AP94" s="8"/>
      <c r="AQ94" s="8"/>
      <c r="AR94" s="8"/>
      <c r="AS94" s="8">
        <v>-1.95</v>
      </c>
      <c r="AT94" s="54"/>
      <c r="AU94" s="54"/>
    </row>
    <row r="95" spans="1:47" ht="49.95" customHeight="1" x14ac:dyDescent="0.25">
      <c r="A95" s="8">
        <f>SUBTOTAL(3, $J$2:J95)</f>
        <v>89</v>
      </c>
      <c r="B95" s="8" t="s">
        <v>126</v>
      </c>
      <c r="C95" s="8" t="s">
        <v>47</v>
      </c>
      <c r="D95" s="8">
        <v>41.487621300000001</v>
      </c>
      <c r="E95" s="8">
        <v>20.031242800000001</v>
      </c>
      <c r="F95" s="8">
        <v>14000</v>
      </c>
      <c r="G95" s="8">
        <v>4933</v>
      </c>
      <c r="H95" s="8" t="s">
        <v>127</v>
      </c>
      <c r="I95" s="8" t="s">
        <v>128</v>
      </c>
      <c r="J95" s="8">
        <v>141250177</v>
      </c>
      <c r="K95" s="8" t="s">
        <v>47</v>
      </c>
      <c r="L95" s="9">
        <f>1.15*Table1[[#This Row],[القيمة]]</f>
        <v>16599579.549999999</v>
      </c>
      <c r="M95" s="10" t="s">
        <v>129</v>
      </c>
      <c r="N95" s="11">
        <v>14434417</v>
      </c>
      <c r="O95" s="20" t="s">
        <v>130</v>
      </c>
      <c r="P95" s="11" t="s">
        <v>111</v>
      </c>
      <c r="Q95" s="11" t="s">
        <v>131</v>
      </c>
      <c r="R95" s="8" t="s">
        <v>68</v>
      </c>
      <c r="S95" s="8" t="s">
        <v>132</v>
      </c>
      <c r="T95" s="8" t="s">
        <v>60</v>
      </c>
      <c r="U95" s="8" t="s">
        <v>70</v>
      </c>
      <c r="V95" s="8" t="s">
        <v>70</v>
      </c>
      <c r="W95" s="8" t="s">
        <v>105</v>
      </c>
      <c r="X95" s="8" t="s">
        <v>75</v>
      </c>
      <c r="Y95" s="14">
        <v>45873</v>
      </c>
      <c r="Z95" s="14">
        <v>46967</v>
      </c>
      <c r="AA95" s="8"/>
      <c r="AB95" s="10" t="s">
        <v>132</v>
      </c>
      <c r="AC95" s="10" t="s">
        <v>90</v>
      </c>
      <c r="AD95" s="12">
        <f>Table1[[#This Row],[القيمة]]</f>
        <v>14434417</v>
      </c>
      <c r="AE95" s="8"/>
      <c r="AF95" s="8"/>
      <c r="AG95" s="8" t="s">
        <v>70</v>
      </c>
      <c r="AH95" s="8"/>
      <c r="AI95" s="8" t="s">
        <v>133</v>
      </c>
      <c r="AJ95" s="8">
        <v>23.59</v>
      </c>
      <c r="AK95" s="8">
        <v>29.69</v>
      </c>
      <c r="AL95" s="8">
        <v>-6.1</v>
      </c>
      <c r="AM95" s="8" t="s">
        <v>105</v>
      </c>
      <c r="AN95" s="8" t="s">
        <v>105</v>
      </c>
      <c r="AO95" s="8">
        <v>0</v>
      </c>
      <c r="AP95" s="8">
        <v>2</v>
      </c>
      <c r="AQ95" s="8"/>
      <c r="AR95" s="8">
        <v>0</v>
      </c>
      <c r="AS95" s="8">
        <v>-3.3</v>
      </c>
      <c r="AT95" s="54"/>
      <c r="AU95" s="54"/>
    </row>
    <row r="96" spans="1:47" ht="49.95" customHeight="1" x14ac:dyDescent="0.25">
      <c r="A96" s="8">
        <f>SUBTOTAL(3, $J$2:J96)</f>
        <v>90</v>
      </c>
      <c r="B96" s="8" t="s">
        <v>91</v>
      </c>
      <c r="C96" s="8" t="s">
        <v>47</v>
      </c>
      <c r="D96" s="8">
        <v>41.333508594773733</v>
      </c>
      <c r="E96" s="8">
        <v>19.636621560339961</v>
      </c>
      <c r="F96" s="8">
        <v>40300</v>
      </c>
      <c r="G96" s="8">
        <v>5350</v>
      </c>
      <c r="H96" s="8" t="s">
        <v>138</v>
      </c>
      <c r="I96" s="8" t="s">
        <v>139</v>
      </c>
      <c r="J96" s="8">
        <v>141250115</v>
      </c>
      <c r="K96" s="8" t="s">
        <v>47</v>
      </c>
      <c r="L96" s="9">
        <f>1.15*Table1[[#This Row],[القيمة]]</f>
        <v>28699457.499999996</v>
      </c>
      <c r="M96" s="10" t="s">
        <v>140</v>
      </c>
      <c r="N96" s="11">
        <v>24956050</v>
      </c>
      <c r="O96" s="20" t="s">
        <v>141</v>
      </c>
      <c r="P96" s="11" t="s">
        <v>111</v>
      </c>
      <c r="Q96" s="11" t="s">
        <v>112</v>
      </c>
      <c r="R96" s="8" t="s">
        <v>68</v>
      </c>
      <c r="S96" s="8" t="s">
        <v>142</v>
      </c>
      <c r="T96" s="8" t="s">
        <v>60</v>
      </c>
      <c r="U96" s="8" t="s">
        <v>70</v>
      </c>
      <c r="V96" s="8" t="s">
        <v>70</v>
      </c>
      <c r="W96" s="8" t="s">
        <v>105</v>
      </c>
      <c r="X96" s="8" t="s">
        <v>75</v>
      </c>
      <c r="Y96" s="14">
        <v>45860</v>
      </c>
      <c r="Z96" s="14">
        <v>46771</v>
      </c>
      <c r="AA96" s="8"/>
      <c r="AB96" s="10" t="s">
        <v>142</v>
      </c>
      <c r="AC96" s="10" t="s">
        <v>91</v>
      </c>
      <c r="AD96" s="12">
        <f>Table1[[#This Row],[القيمة]]</f>
        <v>24956050</v>
      </c>
      <c r="AE96" s="8"/>
      <c r="AF96" s="8"/>
      <c r="AG96" s="8" t="s">
        <v>70</v>
      </c>
      <c r="AH96" s="8"/>
      <c r="AI96" s="8" t="s">
        <v>114</v>
      </c>
      <c r="AJ96" s="8">
        <v>21.95</v>
      </c>
      <c r="AK96" s="8">
        <v>25.13</v>
      </c>
      <c r="AL96" s="8">
        <v>-3.18</v>
      </c>
      <c r="AM96" s="8" t="s">
        <v>105</v>
      </c>
      <c r="AN96" s="8" t="s">
        <v>105</v>
      </c>
      <c r="AO96" s="8">
        <v>0</v>
      </c>
      <c r="AP96" s="8">
        <v>0</v>
      </c>
      <c r="AQ96" s="8"/>
      <c r="AR96" s="8">
        <v>25</v>
      </c>
      <c r="AS96" s="8">
        <v>-0.25</v>
      </c>
      <c r="AT96" s="54"/>
      <c r="AU96" s="54"/>
    </row>
    <row r="97" spans="1:47" ht="49.95" customHeight="1" x14ac:dyDescent="0.25">
      <c r="A97" s="8">
        <f>SUBTOTAL(3, $J$2:J97)</f>
        <v>91</v>
      </c>
      <c r="B97" s="8" t="s">
        <v>91</v>
      </c>
      <c r="C97" s="8" t="s">
        <v>47</v>
      </c>
      <c r="D97" s="8">
        <v>41.444833000000003</v>
      </c>
      <c r="E97" s="8">
        <v>19.889678</v>
      </c>
      <c r="F97" s="8">
        <v>34220</v>
      </c>
      <c r="G97" s="8">
        <v>16030</v>
      </c>
      <c r="H97" s="8" t="s">
        <v>156</v>
      </c>
      <c r="I97" s="8" t="s">
        <v>157</v>
      </c>
      <c r="J97" s="8">
        <v>141250002</v>
      </c>
      <c r="K97" s="8" t="s">
        <v>47</v>
      </c>
      <c r="L97" s="9">
        <f>1.15*Table1[[#This Row],[القيمة]]</f>
        <v>17021035</v>
      </c>
      <c r="M97" s="10" t="s">
        <v>158</v>
      </c>
      <c r="N97" s="11">
        <v>14800900</v>
      </c>
      <c r="O97" s="20" t="s">
        <v>159</v>
      </c>
      <c r="P97" s="11" t="s">
        <v>96</v>
      </c>
      <c r="Q97" s="11" t="s">
        <v>112</v>
      </c>
      <c r="R97" s="8" t="s">
        <v>68</v>
      </c>
      <c r="S97" s="8" t="s">
        <v>160</v>
      </c>
      <c r="T97" s="8" t="s">
        <v>60</v>
      </c>
      <c r="U97" s="8" t="s">
        <v>86</v>
      </c>
      <c r="V97" s="8" t="s">
        <v>86</v>
      </c>
      <c r="W97" s="8" t="s">
        <v>105</v>
      </c>
      <c r="X97" s="8" t="s">
        <v>75</v>
      </c>
      <c r="Y97" s="14">
        <v>45719</v>
      </c>
      <c r="Z97" s="14">
        <v>46813</v>
      </c>
      <c r="AA97" s="18"/>
      <c r="AB97" s="10" t="s">
        <v>160</v>
      </c>
      <c r="AC97" s="8" t="s">
        <v>91</v>
      </c>
      <c r="AD97" s="12">
        <f>Table1[[#This Row],[القيمة]]</f>
        <v>14800900</v>
      </c>
      <c r="AE97" s="8"/>
      <c r="AF97" s="8"/>
      <c r="AG97" s="8" t="s">
        <v>86</v>
      </c>
      <c r="AH97" s="8"/>
      <c r="AI97" s="8" t="s">
        <v>114</v>
      </c>
      <c r="AJ97" s="8">
        <v>30.71</v>
      </c>
      <c r="AK97" s="8">
        <v>40.97</v>
      </c>
      <c r="AL97" s="8">
        <v>-10.26</v>
      </c>
      <c r="AM97" s="8" t="s">
        <v>105</v>
      </c>
      <c r="AN97" s="8" t="s">
        <v>105</v>
      </c>
      <c r="AO97" s="8">
        <v>0</v>
      </c>
      <c r="AP97" s="8">
        <v>0</v>
      </c>
      <c r="AQ97" s="8"/>
      <c r="AR97" s="8">
        <v>44</v>
      </c>
      <c r="AS97" s="8">
        <v>-2.82</v>
      </c>
      <c r="AT97" s="54"/>
      <c r="AU97" s="54"/>
    </row>
    <row r="98" spans="1:47" ht="49.95" customHeight="1" x14ac:dyDescent="0.25">
      <c r="A98" s="8">
        <f>SUBTOTAL(3, $J$2:J98)</f>
        <v>92</v>
      </c>
      <c r="B98" s="8" t="s">
        <v>44</v>
      </c>
      <c r="C98" s="8" t="s">
        <v>47</v>
      </c>
      <c r="D98" s="8">
        <v>41.563594000000002</v>
      </c>
      <c r="E98" s="8">
        <v>19.861073999999999</v>
      </c>
      <c r="F98" s="8">
        <v>75500</v>
      </c>
      <c r="G98" s="8">
        <v>5884</v>
      </c>
      <c r="H98" s="8" t="s">
        <v>161</v>
      </c>
      <c r="I98" s="8" t="s">
        <v>162</v>
      </c>
      <c r="J98" s="8">
        <v>141240203</v>
      </c>
      <c r="K98" s="8" t="s">
        <v>47</v>
      </c>
      <c r="L98" s="9">
        <f>1.15*Table1[[#This Row],[القيمة]]</f>
        <v>72848762.5</v>
      </c>
      <c r="M98" s="10" t="s">
        <v>163</v>
      </c>
      <c r="N98" s="11">
        <v>63346750</v>
      </c>
      <c r="O98" s="20" t="s">
        <v>164</v>
      </c>
      <c r="P98" s="11" t="s">
        <v>96</v>
      </c>
      <c r="Q98" s="11" t="s">
        <v>103</v>
      </c>
      <c r="R98" s="8" t="s">
        <v>68</v>
      </c>
      <c r="S98" s="8" t="s">
        <v>98</v>
      </c>
      <c r="T98" s="8" t="s">
        <v>60</v>
      </c>
      <c r="U98" s="8" t="s">
        <v>74</v>
      </c>
      <c r="V98" s="8" t="s">
        <v>74</v>
      </c>
      <c r="W98" s="8" t="s">
        <v>87</v>
      </c>
      <c r="X98" s="8" t="s">
        <v>75</v>
      </c>
      <c r="Y98" s="14">
        <v>45718</v>
      </c>
      <c r="Z98" s="14">
        <v>47177</v>
      </c>
      <c r="AA98" s="8"/>
      <c r="AB98" s="10" t="s">
        <v>59</v>
      </c>
      <c r="AC98" s="10" t="s">
        <v>90</v>
      </c>
      <c r="AD98" s="12">
        <f>Table1[[#This Row],[القيمة]]</f>
        <v>63346750</v>
      </c>
      <c r="AE98" s="8"/>
      <c r="AF98" s="8"/>
      <c r="AG98" s="8" t="s">
        <v>74</v>
      </c>
      <c r="AH98" s="8"/>
      <c r="AI98" s="8" t="s">
        <v>60</v>
      </c>
      <c r="AJ98" s="8">
        <v>9.32</v>
      </c>
      <c r="AK98" s="8">
        <v>8.77</v>
      </c>
      <c r="AL98" s="8">
        <v>0.55000000000000004</v>
      </c>
      <c r="AM98" s="8" t="s">
        <v>105</v>
      </c>
      <c r="AN98" s="8" t="s">
        <v>105</v>
      </c>
      <c r="AO98" s="8">
        <v>0</v>
      </c>
      <c r="AP98" s="8">
        <v>0</v>
      </c>
      <c r="AQ98" s="8"/>
      <c r="AR98" s="8">
        <v>0</v>
      </c>
      <c r="AS98" s="8">
        <v>-0.68</v>
      </c>
      <c r="AT98" s="54"/>
      <c r="AU98" s="54"/>
    </row>
    <row r="99" spans="1:47" ht="49.95" customHeight="1" x14ac:dyDescent="0.25">
      <c r="A99" s="8">
        <f>SUBTOTAL(3, $J$2:J99)</f>
        <v>93</v>
      </c>
      <c r="B99" s="8" t="s">
        <v>126</v>
      </c>
      <c r="C99" s="8" t="s">
        <v>47</v>
      </c>
      <c r="D99" s="8">
        <v>41.463625499999999</v>
      </c>
      <c r="E99" s="8">
        <v>20.009451899999998</v>
      </c>
      <c r="F99" s="8">
        <v>24000</v>
      </c>
      <c r="G99" s="8">
        <v>14632</v>
      </c>
      <c r="H99" s="8" t="s">
        <v>165</v>
      </c>
      <c r="I99" s="8" t="s">
        <v>166</v>
      </c>
      <c r="J99" s="8">
        <v>141240199</v>
      </c>
      <c r="K99" s="8" t="s">
        <v>47</v>
      </c>
      <c r="L99" s="9">
        <f>1.15*Table1[[#This Row],[القيمة]]</f>
        <v>9231337.5</v>
      </c>
      <c r="M99" s="10" t="s">
        <v>167</v>
      </c>
      <c r="N99" s="11">
        <v>8027250</v>
      </c>
      <c r="O99" s="20" t="s">
        <v>168</v>
      </c>
      <c r="P99" s="11" t="s">
        <v>96</v>
      </c>
      <c r="Q99" s="11" t="s">
        <v>131</v>
      </c>
      <c r="R99" s="8" t="s">
        <v>68</v>
      </c>
      <c r="S99" s="8" t="s">
        <v>169</v>
      </c>
      <c r="T99" s="8" t="s">
        <v>60</v>
      </c>
      <c r="U99" s="8" t="s">
        <v>70</v>
      </c>
      <c r="V99" s="8" t="s">
        <v>70</v>
      </c>
      <c r="W99" s="8" t="s">
        <v>105</v>
      </c>
      <c r="X99" s="8" t="s">
        <v>75</v>
      </c>
      <c r="Y99" s="14">
        <v>45736</v>
      </c>
      <c r="Z99" s="14">
        <v>46835</v>
      </c>
      <c r="AA99" s="8"/>
      <c r="AB99" s="10" t="s">
        <v>169</v>
      </c>
      <c r="AC99" s="10" t="s">
        <v>91</v>
      </c>
      <c r="AD99" s="12">
        <f>Table1[[#This Row],[القيمة]]</f>
        <v>8027250</v>
      </c>
      <c r="AE99" s="8"/>
      <c r="AF99" s="16"/>
      <c r="AG99" s="8" t="s">
        <v>70</v>
      </c>
      <c r="AH99" s="8"/>
      <c r="AI99" s="8" t="s">
        <v>133</v>
      </c>
      <c r="AJ99" s="8">
        <v>45.87</v>
      </c>
      <c r="AK99" s="8">
        <v>53.42</v>
      </c>
      <c r="AL99" s="8">
        <v>-7.55</v>
      </c>
      <c r="AM99" s="8" t="s">
        <v>105</v>
      </c>
      <c r="AN99" s="8" t="s">
        <v>105</v>
      </c>
      <c r="AO99" s="8">
        <v>0</v>
      </c>
      <c r="AP99" s="8">
        <v>0</v>
      </c>
      <c r="AQ99" s="8"/>
      <c r="AR99" s="8">
        <v>0</v>
      </c>
      <c r="AS99" s="8">
        <v>-0.91</v>
      </c>
      <c r="AT99" s="54"/>
      <c r="AU99" s="54"/>
    </row>
    <row r="100" spans="1:47" ht="49.95" customHeight="1" x14ac:dyDescent="0.25">
      <c r="A100" s="8">
        <f>SUBTOTAL(3, $J$2:J100)</f>
        <v>94</v>
      </c>
      <c r="B100" s="8" t="s">
        <v>180</v>
      </c>
      <c r="C100" s="8" t="s">
        <v>47</v>
      </c>
      <c r="D100" s="8">
        <v>41.652661999999999</v>
      </c>
      <c r="E100" s="8">
        <v>20.276803000000001</v>
      </c>
      <c r="F100" s="8">
        <v>62450</v>
      </c>
      <c r="G100" s="8">
        <v>26153</v>
      </c>
      <c r="H100" s="8" t="s">
        <v>181</v>
      </c>
      <c r="I100" s="8" t="s">
        <v>182</v>
      </c>
      <c r="J100" s="8">
        <v>141240176</v>
      </c>
      <c r="K100" s="8" t="s">
        <v>47</v>
      </c>
      <c r="L100" s="9">
        <f>1.15*Table1[[#This Row],[القيمة]]</f>
        <v>83012520</v>
      </c>
      <c r="M100" s="10" t="s">
        <v>183</v>
      </c>
      <c r="N100" s="11">
        <v>72184800</v>
      </c>
      <c r="O100" s="20" t="s">
        <v>184</v>
      </c>
      <c r="P100" s="11" t="s">
        <v>96</v>
      </c>
      <c r="Q100" s="11" t="s">
        <v>185</v>
      </c>
      <c r="R100" s="8" t="s">
        <v>68</v>
      </c>
      <c r="S100" s="8" t="s">
        <v>132</v>
      </c>
      <c r="T100" s="8" t="s">
        <v>60</v>
      </c>
      <c r="U100" s="8" t="s">
        <v>74</v>
      </c>
      <c r="V100" s="8" t="s">
        <v>74</v>
      </c>
      <c r="W100" s="8" t="s">
        <v>105</v>
      </c>
      <c r="X100" s="8" t="s">
        <v>75</v>
      </c>
      <c r="Y100" s="14">
        <v>45679</v>
      </c>
      <c r="Z100" s="14">
        <v>47177</v>
      </c>
      <c r="AA100" s="8"/>
      <c r="AB100" s="10" t="s">
        <v>132</v>
      </c>
      <c r="AC100" s="10" t="s">
        <v>90</v>
      </c>
      <c r="AD100" s="12">
        <f>Table1[[#This Row],[القيمة]]</f>
        <v>72184800</v>
      </c>
      <c r="AE100" s="8"/>
      <c r="AF100" s="8"/>
      <c r="AG100" s="8" t="s">
        <v>74</v>
      </c>
      <c r="AH100" s="8"/>
      <c r="AI100" s="8" t="s">
        <v>60</v>
      </c>
      <c r="AJ100" s="8">
        <v>37.32</v>
      </c>
      <c r="AK100" s="8">
        <v>43.98</v>
      </c>
      <c r="AL100" s="8">
        <v>-6.66</v>
      </c>
      <c r="AM100" s="8" t="s">
        <v>105</v>
      </c>
      <c r="AN100" s="8" t="s">
        <v>105</v>
      </c>
      <c r="AO100" s="8">
        <v>0</v>
      </c>
      <c r="AP100" s="8">
        <v>1</v>
      </c>
      <c r="AQ100" s="8"/>
      <c r="AR100" s="8">
        <v>0</v>
      </c>
      <c r="AS100" s="8">
        <v>-1.92</v>
      </c>
      <c r="AT100" s="54"/>
      <c r="AU100" s="54"/>
    </row>
    <row r="101" spans="1:47" ht="49.95" customHeight="1" x14ac:dyDescent="0.25">
      <c r="A101" s="8">
        <f>SUBTOTAL(3, $J$2:J101)</f>
        <v>95</v>
      </c>
      <c r="B101" s="8" t="s">
        <v>180</v>
      </c>
      <c r="C101" s="8" t="s">
        <v>47</v>
      </c>
      <c r="D101" s="8">
        <v>41.614843999999998</v>
      </c>
      <c r="E101" s="8">
        <v>20.245857000000001</v>
      </c>
      <c r="F101" s="8">
        <v>86500</v>
      </c>
      <c r="G101" s="8">
        <v>14875</v>
      </c>
      <c r="H101" s="8" t="s">
        <v>186</v>
      </c>
      <c r="I101" s="8" t="s">
        <v>187</v>
      </c>
      <c r="J101" s="8">
        <v>141240138</v>
      </c>
      <c r="K101" s="8" t="s">
        <v>47</v>
      </c>
      <c r="L101" s="9">
        <f>1.15*Table1[[#This Row],[القيمة]]</f>
        <v>86814995</v>
      </c>
      <c r="M101" s="10" t="s">
        <v>188</v>
      </c>
      <c r="N101" s="11">
        <v>75491300</v>
      </c>
      <c r="O101" s="20" t="s">
        <v>189</v>
      </c>
      <c r="P101" s="11" t="s">
        <v>96</v>
      </c>
      <c r="Q101" s="11" t="s">
        <v>185</v>
      </c>
      <c r="R101" s="8" t="s">
        <v>68</v>
      </c>
      <c r="S101" s="8" t="s">
        <v>98</v>
      </c>
      <c r="T101" s="8" t="s">
        <v>60</v>
      </c>
      <c r="U101" s="8" t="s">
        <v>74</v>
      </c>
      <c r="V101" s="8" t="s">
        <v>74</v>
      </c>
      <c r="W101" s="8" t="s">
        <v>87</v>
      </c>
      <c r="X101" s="8" t="s">
        <v>75</v>
      </c>
      <c r="Y101" s="14">
        <v>45610</v>
      </c>
      <c r="Z101" s="14">
        <v>47102</v>
      </c>
      <c r="AA101" s="8"/>
      <c r="AB101" s="10" t="s">
        <v>59</v>
      </c>
      <c r="AC101" s="10" t="s">
        <v>90</v>
      </c>
      <c r="AD101" s="12">
        <f>Table1[[#This Row],[القيمة]]</f>
        <v>75491300</v>
      </c>
      <c r="AE101" s="8"/>
      <c r="AF101" s="8"/>
      <c r="AG101" s="8" t="s">
        <v>74</v>
      </c>
      <c r="AH101" s="8"/>
      <c r="AI101" s="8" t="s">
        <v>60</v>
      </c>
      <c r="AJ101" s="8">
        <v>17</v>
      </c>
      <c r="AK101" s="8">
        <v>15.4</v>
      </c>
      <c r="AL101" s="8">
        <v>1.6</v>
      </c>
      <c r="AM101" s="8" t="s">
        <v>87</v>
      </c>
      <c r="AN101" s="8" t="s">
        <v>87</v>
      </c>
      <c r="AO101" s="8">
        <v>0</v>
      </c>
      <c r="AP101" s="8">
        <v>1</v>
      </c>
      <c r="AQ101" s="8"/>
      <c r="AR101" s="8">
        <v>0</v>
      </c>
      <c r="AS101" s="8">
        <v>0.23</v>
      </c>
      <c r="AT101" s="54"/>
      <c r="AU101" s="54"/>
    </row>
    <row r="102" spans="1:47" ht="49.95" customHeight="1" x14ac:dyDescent="0.25">
      <c r="A102" s="8">
        <f>SUBTOTAL(3, $J$2:J102)</f>
        <v>96</v>
      </c>
      <c r="B102" s="8" t="s">
        <v>180</v>
      </c>
      <c r="C102" s="8" t="s">
        <v>47</v>
      </c>
      <c r="D102" s="8">
        <v>41.160744000000001</v>
      </c>
      <c r="E102" s="8">
        <v>19.904261000000002</v>
      </c>
      <c r="F102" s="8">
        <v>40700</v>
      </c>
      <c r="G102" s="8">
        <v>8671</v>
      </c>
      <c r="H102" s="8" t="s">
        <v>190</v>
      </c>
      <c r="I102" s="8" t="s">
        <v>191</v>
      </c>
      <c r="J102" s="8">
        <v>141240131</v>
      </c>
      <c r="K102" s="8" t="s">
        <v>47</v>
      </c>
      <c r="L102" s="9">
        <f>1.15*Table1[[#This Row],[القيمة]]</f>
        <v>60137869.999999993</v>
      </c>
      <c r="M102" s="10" t="s">
        <v>192</v>
      </c>
      <c r="N102" s="11">
        <v>52293800</v>
      </c>
      <c r="O102" s="20" t="s">
        <v>193</v>
      </c>
      <c r="P102" s="11" t="s">
        <v>96</v>
      </c>
      <c r="Q102" s="11" t="s">
        <v>174</v>
      </c>
      <c r="R102" s="8" t="s">
        <v>68</v>
      </c>
      <c r="S102" s="8" t="s">
        <v>194</v>
      </c>
      <c r="T102" s="8" t="s">
        <v>60</v>
      </c>
      <c r="U102" s="8" t="s">
        <v>86</v>
      </c>
      <c r="V102" s="8" t="s">
        <v>86</v>
      </c>
      <c r="W102" s="8" t="s">
        <v>105</v>
      </c>
      <c r="X102" s="8" t="s">
        <v>75</v>
      </c>
      <c r="Y102" s="14">
        <v>45564</v>
      </c>
      <c r="Z102" s="14">
        <v>47037</v>
      </c>
      <c r="AA102" s="8"/>
      <c r="AB102" s="10" t="s">
        <v>195</v>
      </c>
      <c r="AC102" s="10" t="s">
        <v>90</v>
      </c>
      <c r="AD102" s="12">
        <f>Table1[[#This Row],[القيمة]]</f>
        <v>52293800</v>
      </c>
      <c r="AE102" s="8"/>
      <c r="AF102" s="8"/>
      <c r="AG102" s="8" t="s">
        <v>86</v>
      </c>
      <c r="AH102" s="8"/>
      <c r="AI102" s="8" t="s">
        <v>114</v>
      </c>
      <c r="AJ102" s="8">
        <v>21.2</v>
      </c>
      <c r="AK102" s="8">
        <v>22.8</v>
      </c>
      <c r="AL102" s="8">
        <v>-1.6</v>
      </c>
      <c r="AM102" s="8" t="s">
        <v>105</v>
      </c>
      <c r="AN102" s="8" t="s">
        <v>105</v>
      </c>
      <c r="AO102" s="8">
        <v>0</v>
      </c>
      <c r="AP102" s="8">
        <v>1</v>
      </c>
      <c r="AQ102" s="8"/>
      <c r="AR102" s="8">
        <v>0</v>
      </c>
      <c r="AS102" s="8">
        <v>-0.93</v>
      </c>
      <c r="AT102" s="54"/>
      <c r="AU102" s="54"/>
    </row>
    <row r="103" spans="1:47" ht="49.95" customHeight="1" x14ac:dyDescent="0.25">
      <c r="A103" s="8">
        <f>SUBTOTAL(3, $J$2:J103)</f>
        <v>97</v>
      </c>
      <c r="B103" s="8" t="s">
        <v>91</v>
      </c>
      <c r="C103" s="8" t="s">
        <v>47</v>
      </c>
      <c r="D103" s="8">
        <v>41.222034999999998</v>
      </c>
      <c r="E103" s="8">
        <v>20.219339999999999</v>
      </c>
      <c r="F103" s="8">
        <v>23800</v>
      </c>
      <c r="G103" s="8">
        <v>21853</v>
      </c>
      <c r="H103" s="8" t="s">
        <v>196</v>
      </c>
      <c r="I103" s="8" t="s">
        <v>197</v>
      </c>
      <c r="J103" s="8">
        <v>141240114</v>
      </c>
      <c r="K103" s="8" t="s">
        <v>47</v>
      </c>
      <c r="L103" s="9">
        <f>1.15*Table1[[#This Row],[القيمة]]</f>
        <v>32464683.999999996</v>
      </c>
      <c r="M103" s="10" t="s">
        <v>198</v>
      </c>
      <c r="N103" s="11">
        <v>28230160</v>
      </c>
      <c r="O103" s="20" t="s">
        <v>199</v>
      </c>
      <c r="P103" s="11" t="s">
        <v>96</v>
      </c>
      <c r="Q103" s="11" t="s">
        <v>200</v>
      </c>
      <c r="R103" s="8" t="s">
        <v>68</v>
      </c>
      <c r="S103" s="8" t="s">
        <v>201</v>
      </c>
      <c r="T103" s="8" t="s">
        <v>60</v>
      </c>
      <c r="U103" s="8" t="s">
        <v>79</v>
      </c>
      <c r="V103" s="8" t="s">
        <v>79</v>
      </c>
      <c r="W103" s="8" t="s">
        <v>105</v>
      </c>
      <c r="X103" s="8" t="s">
        <v>75</v>
      </c>
      <c r="Y103" s="14">
        <v>45592</v>
      </c>
      <c r="Z103" s="14">
        <v>46693</v>
      </c>
      <c r="AA103" s="14"/>
      <c r="AB103" s="10" t="s">
        <v>202</v>
      </c>
      <c r="AC103" s="8" t="s">
        <v>91</v>
      </c>
      <c r="AD103" s="12">
        <f>Table1[[#This Row],[القيمة]]</f>
        <v>28230160</v>
      </c>
      <c r="AE103" s="8"/>
      <c r="AF103" s="8"/>
      <c r="AG103" s="8" t="s">
        <v>79</v>
      </c>
      <c r="AH103" s="8"/>
      <c r="AI103" s="8" t="s">
        <v>60</v>
      </c>
      <c r="AJ103" s="8">
        <v>69.23</v>
      </c>
      <c r="AK103" s="8">
        <v>84.54</v>
      </c>
      <c r="AL103" s="8">
        <v>-15.31</v>
      </c>
      <c r="AM103" s="8" t="s">
        <v>105</v>
      </c>
      <c r="AN103" s="8" t="s">
        <v>105</v>
      </c>
      <c r="AO103" s="8">
        <v>0</v>
      </c>
      <c r="AP103" s="8">
        <v>3</v>
      </c>
      <c r="AQ103" s="8"/>
      <c r="AR103" s="8">
        <v>19</v>
      </c>
      <c r="AS103" s="8">
        <v>-10.050000000000001</v>
      </c>
      <c r="AT103" s="54"/>
      <c r="AU103" s="54"/>
    </row>
    <row r="104" spans="1:47" ht="49.95" customHeight="1" x14ac:dyDescent="0.25">
      <c r="A104" s="8">
        <f>SUBTOTAL(3, $J$2:J104)</f>
        <v>98</v>
      </c>
      <c r="B104" s="8" t="s">
        <v>91</v>
      </c>
      <c r="C104" s="8" t="s">
        <v>47</v>
      </c>
      <c r="D104" s="8">
        <v>41.592771999999997</v>
      </c>
      <c r="E104" s="8">
        <v>19.895202999999999</v>
      </c>
      <c r="F104" s="8">
        <v>18282</v>
      </c>
      <c r="G104" s="8">
        <v>13098</v>
      </c>
      <c r="H104" s="8" t="s">
        <v>203</v>
      </c>
      <c r="I104" s="8" t="s">
        <v>204</v>
      </c>
      <c r="J104" s="8">
        <v>141240081</v>
      </c>
      <c r="K104" s="8" t="s">
        <v>47</v>
      </c>
      <c r="L104" s="9">
        <f>1.15*Table1[[#This Row],[القيمة]]</f>
        <v>8497551.25</v>
      </c>
      <c r="M104" s="10" t="s">
        <v>205</v>
      </c>
      <c r="N104" s="11">
        <v>7389175</v>
      </c>
      <c r="O104" s="20" t="s">
        <v>206</v>
      </c>
      <c r="P104" s="11" t="s">
        <v>96</v>
      </c>
      <c r="Q104" s="11" t="s">
        <v>103</v>
      </c>
      <c r="R104" s="8" t="s">
        <v>68</v>
      </c>
      <c r="S104" s="8" t="s">
        <v>207</v>
      </c>
      <c r="T104" s="8" t="s">
        <v>60</v>
      </c>
      <c r="U104" s="8" t="s">
        <v>117</v>
      </c>
      <c r="V104" s="8" t="s">
        <v>117</v>
      </c>
      <c r="W104" s="8" t="s">
        <v>105</v>
      </c>
      <c r="X104" s="8" t="s">
        <v>75</v>
      </c>
      <c r="Y104" s="14">
        <v>45505</v>
      </c>
      <c r="Z104" s="14">
        <v>46663</v>
      </c>
      <c r="AA104" s="8"/>
      <c r="AB104" s="10" t="s">
        <v>207</v>
      </c>
      <c r="AC104" s="10" t="s">
        <v>91</v>
      </c>
      <c r="AD104" s="12">
        <f>Table1[[#This Row],[القيمة]]</f>
        <v>7389175</v>
      </c>
      <c r="AE104" s="8"/>
      <c r="AF104" s="8"/>
      <c r="AG104" s="8" t="s">
        <v>117</v>
      </c>
      <c r="AH104" s="8"/>
      <c r="AI104" s="8" t="s">
        <v>114</v>
      </c>
      <c r="AJ104" s="8">
        <v>70.58</v>
      </c>
      <c r="AK104" s="8">
        <v>79.790000000000006</v>
      </c>
      <c r="AL104" s="8">
        <v>-9.2100000000000009</v>
      </c>
      <c r="AM104" s="8" t="s">
        <v>105</v>
      </c>
      <c r="AN104" s="8" t="s">
        <v>105</v>
      </c>
      <c r="AO104" s="8">
        <v>0</v>
      </c>
      <c r="AP104" s="8">
        <v>0</v>
      </c>
      <c r="AQ104" s="8"/>
      <c r="AR104" s="8" t="s">
        <v>66</v>
      </c>
      <c r="AS104" s="8">
        <v>-6.01</v>
      </c>
      <c r="AT104" s="54"/>
      <c r="AU104" s="54"/>
    </row>
    <row r="105" spans="1:47" ht="49.95" customHeight="1" x14ac:dyDescent="0.25">
      <c r="A105" s="8">
        <f>SUBTOTAL(3, $J$2:J105)</f>
        <v>99</v>
      </c>
      <c r="B105" s="8" t="s">
        <v>44</v>
      </c>
      <c r="C105" s="8" t="s">
        <v>55</v>
      </c>
      <c r="D105" s="8">
        <v>41.224454999999999</v>
      </c>
      <c r="E105" s="8">
        <v>20.351233000000001</v>
      </c>
      <c r="F105" s="8">
        <v>0</v>
      </c>
      <c r="G105" s="8">
        <v>0</v>
      </c>
      <c r="H105" s="8" t="s">
        <v>211</v>
      </c>
      <c r="I105" s="8" t="s">
        <v>212</v>
      </c>
      <c r="J105" s="8">
        <v>141240076</v>
      </c>
      <c r="K105" s="8" t="s">
        <v>47</v>
      </c>
      <c r="L105" s="9">
        <f>1.15*Table1[[#This Row],[القيمة]]</f>
        <v>94297699.988499984</v>
      </c>
      <c r="M105" s="10" t="s">
        <v>213</v>
      </c>
      <c r="N105" s="11">
        <v>81997999.989999995</v>
      </c>
      <c r="O105" s="20" t="s">
        <v>214</v>
      </c>
      <c r="P105" s="11" t="s">
        <v>215</v>
      </c>
      <c r="Q105" s="11" t="s">
        <v>200</v>
      </c>
      <c r="R105" s="8" t="s">
        <v>68</v>
      </c>
      <c r="S105" s="8" t="s">
        <v>216</v>
      </c>
      <c r="T105" s="8" t="s">
        <v>60</v>
      </c>
      <c r="U105" s="8" t="s">
        <v>117</v>
      </c>
      <c r="V105" s="8" t="s">
        <v>117</v>
      </c>
      <c r="W105" s="8" t="s">
        <v>175</v>
      </c>
      <c r="X105" s="8" t="s">
        <v>75</v>
      </c>
      <c r="Y105" s="14">
        <v>45494</v>
      </c>
      <c r="Z105" s="14">
        <v>46538</v>
      </c>
      <c r="AA105" s="8"/>
      <c r="AB105" s="10" t="s">
        <v>216</v>
      </c>
      <c r="AC105" s="10" t="s">
        <v>90</v>
      </c>
      <c r="AD105" s="12">
        <f>Table1[[#This Row],[القيمة]]</f>
        <v>81997999.989999995</v>
      </c>
      <c r="AE105" s="8"/>
      <c r="AF105" s="8"/>
      <c r="AG105" s="8" t="s">
        <v>117</v>
      </c>
      <c r="AH105" s="8"/>
      <c r="AI105" s="8" t="s">
        <v>60</v>
      </c>
      <c r="AJ105" s="8">
        <v>48.22</v>
      </c>
      <c r="AK105" s="8">
        <v>23.5</v>
      </c>
      <c r="AL105" s="8">
        <v>24.72</v>
      </c>
      <c r="AM105" s="8" t="s">
        <v>175</v>
      </c>
      <c r="AN105" s="8" t="s">
        <v>175</v>
      </c>
      <c r="AO105" s="8">
        <v>1</v>
      </c>
      <c r="AP105" s="8">
        <v>0</v>
      </c>
      <c r="AQ105" s="8"/>
      <c r="AR105" s="8">
        <v>0</v>
      </c>
      <c r="AS105" s="8">
        <v>19.97</v>
      </c>
      <c r="AT105" s="54"/>
      <c r="AU105" s="54"/>
    </row>
    <row r="106" spans="1:47" ht="49.95" customHeight="1" x14ac:dyDescent="0.25">
      <c r="A106" s="8">
        <f>SUBTOTAL(3, $J$2:J106)</f>
        <v>100</v>
      </c>
      <c r="B106" s="8" t="s">
        <v>44</v>
      </c>
      <c r="C106" s="8" t="s">
        <v>55</v>
      </c>
      <c r="D106" s="8">
        <v>41.433703000000001</v>
      </c>
      <c r="E106" s="8">
        <v>19.744363</v>
      </c>
      <c r="F106" s="8">
        <v>28986</v>
      </c>
      <c r="G106" s="8">
        <v>28870</v>
      </c>
      <c r="H106" s="8" t="s">
        <v>217</v>
      </c>
      <c r="I106" s="8" t="s">
        <v>218</v>
      </c>
      <c r="J106" s="8">
        <v>141240049</v>
      </c>
      <c r="K106" s="8" t="s">
        <v>47</v>
      </c>
      <c r="L106" s="9">
        <f>1.15*Table1[[#This Row],[القيمة]]</f>
        <v>156278245.35999998</v>
      </c>
      <c r="M106" s="10" t="s">
        <v>219</v>
      </c>
      <c r="N106" s="11">
        <v>135894126.40000001</v>
      </c>
      <c r="O106" s="20" t="s">
        <v>220</v>
      </c>
      <c r="P106" s="11" t="s">
        <v>215</v>
      </c>
      <c r="Q106" s="11" t="s">
        <v>131</v>
      </c>
      <c r="R106" s="8" t="s">
        <v>68</v>
      </c>
      <c r="S106" s="8" t="s">
        <v>132</v>
      </c>
      <c r="T106" s="8" t="s">
        <v>60</v>
      </c>
      <c r="U106" s="8" t="s">
        <v>79</v>
      </c>
      <c r="V106" s="8" t="s">
        <v>79</v>
      </c>
      <c r="W106" s="8" t="s">
        <v>87</v>
      </c>
      <c r="X106" s="8" t="s">
        <v>75</v>
      </c>
      <c r="Y106" s="14">
        <v>45432</v>
      </c>
      <c r="Z106" s="14">
        <v>46290</v>
      </c>
      <c r="AA106" s="14"/>
      <c r="AB106" s="10" t="s">
        <v>132</v>
      </c>
      <c r="AC106" s="8" t="s">
        <v>91</v>
      </c>
      <c r="AD106" s="12">
        <f>Table1[[#This Row],[القيمة]]</f>
        <v>135894126.40000001</v>
      </c>
      <c r="AE106" s="8"/>
      <c r="AF106" s="16"/>
      <c r="AG106" s="8" t="s">
        <v>79</v>
      </c>
      <c r="AH106" s="8"/>
      <c r="AI106" s="8" t="s">
        <v>60</v>
      </c>
      <c r="AJ106" s="8">
        <v>97.73</v>
      </c>
      <c r="AK106" s="8">
        <v>92.8</v>
      </c>
      <c r="AL106" s="8">
        <v>4.93</v>
      </c>
      <c r="AM106" s="8" t="s">
        <v>105</v>
      </c>
      <c r="AN106" s="8" t="s">
        <v>105</v>
      </c>
      <c r="AO106" s="8">
        <v>0</v>
      </c>
      <c r="AP106" s="8">
        <v>5</v>
      </c>
      <c r="AQ106" s="8"/>
      <c r="AR106" s="8">
        <v>4</v>
      </c>
      <c r="AS106" s="8">
        <v>-0.66</v>
      </c>
      <c r="AT106" s="54"/>
      <c r="AU106" s="54"/>
    </row>
    <row r="107" spans="1:47" ht="49.95" customHeight="1" x14ac:dyDescent="0.25">
      <c r="A107" s="8">
        <f>SUBTOTAL(3, $J$2:J107)</f>
        <v>101</v>
      </c>
      <c r="B107" s="8" t="s">
        <v>126</v>
      </c>
      <c r="C107" s="8" t="s">
        <v>47</v>
      </c>
      <c r="D107" s="8">
        <v>41.160834000000001</v>
      </c>
      <c r="E107" s="8">
        <v>19.552665000000001</v>
      </c>
      <c r="F107" s="8">
        <v>90000</v>
      </c>
      <c r="G107" s="8">
        <v>66205</v>
      </c>
      <c r="H107" s="8" t="s">
        <v>221</v>
      </c>
      <c r="I107" s="8" t="s">
        <v>222</v>
      </c>
      <c r="J107" s="8">
        <v>141240033</v>
      </c>
      <c r="K107" s="8" t="s">
        <v>47</v>
      </c>
      <c r="L107" s="9">
        <f>1.15*Table1[[#This Row],[القيمة]]</f>
        <v>23086694.474999998</v>
      </c>
      <c r="M107" s="10" t="s">
        <v>223</v>
      </c>
      <c r="N107" s="11">
        <v>20075386.5</v>
      </c>
      <c r="O107" s="20" t="s">
        <v>224</v>
      </c>
      <c r="P107" s="11" t="s">
        <v>96</v>
      </c>
      <c r="Q107" s="11" t="s">
        <v>112</v>
      </c>
      <c r="R107" s="8" t="s">
        <v>68</v>
      </c>
      <c r="S107" s="8" t="s">
        <v>225</v>
      </c>
      <c r="T107" s="8" t="s">
        <v>60</v>
      </c>
      <c r="U107" s="8" t="s">
        <v>86</v>
      </c>
      <c r="V107" s="8" t="s">
        <v>86</v>
      </c>
      <c r="W107" s="8" t="s">
        <v>87</v>
      </c>
      <c r="X107" s="8" t="s">
        <v>75</v>
      </c>
      <c r="Y107" s="14">
        <v>45432</v>
      </c>
      <c r="Z107" s="14">
        <v>47031</v>
      </c>
      <c r="AA107" s="8"/>
      <c r="AB107" s="10" t="s">
        <v>225</v>
      </c>
      <c r="AC107" s="10" t="s">
        <v>91</v>
      </c>
      <c r="AD107" s="12">
        <f>Table1[[#This Row],[القيمة]]</f>
        <v>20075386.5</v>
      </c>
      <c r="AE107" s="8"/>
      <c r="AF107" s="8"/>
      <c r="AG107" s="8" t="s">
        <v>86</v>
      </c>
      <c r="AH107" s="8"/>
      <c r="AI107" s="8" t="s">
        <v>133</v>
      </c>
      <c r="AJ107" s="8">
        <v>51.51</v>
      </c>
      <c r="AK107" s="8">
        <v>48.42</v>
      </c>
      <c r="AL107" s="8">
        <v>3.09</v>
      </c>
      <c r="AM107" s="8" t="s">
        <v>87</v>
      </c>
      <c r="AN107" s="8" t="s">
        <v>87</v>
      </c>
      <c r="AO107" s="8">
        <v>0</v>
      </c>
      <c r="AP107" s="8">
        <v>0</v>
      </c>
      <c r="AQ107" s="8"/>
      <c r="AR107" s="8">
        <v>0</v>
      </c>
      <c r="AS107" s="8">
        <v>1.42</v>
      </c>
      <c r="AT107" s="54"/>
      <c r="AU107" s="54"/>
    </row>
    <row r="108" spans="1:47" ht="49.95" customHeight="1" x14ac:dyDescent="0.25">
      <c r="A108" s="8">
        <f>SUBTOTAL(3, $J$2:J108)</f>
        <v>102</v>
      </c>
      <c r="B108" s="8" t="s">
        <v>44</v>
      </c>
      <c r="C108" s="8" t="s">
        <v>55</v>
      </c>
      <c r="D108" s="8">
        <v>41.245780000000003</v>
      </c>
      <c r="E108" s="8">
        <v>19.946467999999999</v>
      </c>
      <c r="F108" s="8">
        <v>18400</v>
      </c>
      <c r="G108" s="8">
        <v>13642</v>
      </c>
      <c r="H108" s="8" t="s">
        <v>226</v>
      </c>
      <c r="I108" s="8" t="s">
        <v>227</v>
      </c>
      <c r="J108" s="8">
        <v>141230172</v>
      </c>
      <c r="K108" s="8" t="s">
        <v>47</v>
      </c>
      <c r="L108" s="9">
        <f>1.15*Table1[[#This Row],[القيمة]]</f>
        <v>20559813.654499996</v>
      </c>
      <c r="M108" s="10" t="s">
        <v>228</v>
      </c>
      <c r="N108" s="11">
        <v>17878098.829999998</v>
      </c>
      <c r="O108" s="20" t="s">
        <v>229</v>
      </c>
      <c r="P108" s="11" t="s">
        <v>215</v>
      </c>
      <c r="Q108" s="11" t="s">
        <v>174</v>
      </c>
      <c r="R108" s="8" t="s">
        <v>68</v>
      </c>
      <c r="S108" s="8" t="s">
        <v>160</v>
      </c>
      <c r="T108" s="8" t="s">
        <v>60</v>
      </c>
      <c r="U108" s="8" t="s">
        <v>86</v>
      </c>
      <c r="V108" s="8" t="s">
        <v>86</v>
      </c>
      <c r="W108" s="8" t="s">
        <v>175</v>
      </c>
      <c r="X108" s="8" t="s">
        <v>75</v>
      </c>
      <c r="Y108" s="14">
        <v>45466</v>
      </c>
      <c r="Z108" s="14">
        <v>46315</v>
      </c>
      <c r="AA108" s="8"/>
      <c r="AB108" s="10" t="s">
        <v>160</v>
      </c>
      <c r="AC108" s="10" t="s">
        <v>90</v>
      </c>
      <c r="AD108" s="12">
        <f>Table1[[#This Row],[القيمة]]</f>
        <v>17878098.829999998</v>
      </c>
      <c r="AE108" s="8"/>
      <c r="AF108" s="8"/>
      <c r="AG108" s="8" t="s">
        <v>86</v>
      </c>
      <c r="AH108" s="8"/>
      <c r="AI108" s="8" t="s">
        <v>114</v>
      </c>
      <c r="AJ108" s="8">
        <v>91.24</v>
      </c>
      <c r="AK108" s="8">
        <v>70.040000000000006</v>
      </c>
      <c r="AL108" s="8">
        <v>21.2</v>
      </c>
      <c r="AM108" s="8" t="s">
        <v>175</v>
      </c>
      <c r="AN108" s="8" t="s">
        <v>175</v>
      </c>
      <c r="AO108" s="8">
        <v>0</v>
      </c>
      <c r="AP108" s="8">
        <v>0</v>
      </c>
      <c r="AQ108" s="8"/>
      <c r="AR108" s="8" t="s">
        <v>230</v>
      </c>
      <c r="AS108" s="8">
        <v>14.77</v>
      </c>
      <c r="AT108" s="54"/>
      <c r="AU108" s="54"/>
    </row>
    <row r="109" spans="1:47" ht="49.95" customHeight="1" x14ac:dyDescent="0.25">
      <c r="A109" s="8">
        <f>SUBTOTAL(3, $J$2:J109)</f>
        <v>103</v>
      </c>
      <c r="B109" s="8" t="s">
        <v>126</v>
      </c>
      <c r="C109" s="8" t="s">
        <v>47</v>
      </c>
      <c r="D109" s="8">
        <v>43.959392999999999</v>
      </c>
      <c r="E109" s="8">
        <v>17.822361000000001</v>
      </c>
      <c r="F109" s="8">
        <v>26900</v>
      </c>
      <c r="G109" s="8">
        <v>1008</v>
      </c>
      <c r="H109" s="8" t="s">
        <v>277</v>
      </c>
      <c r="I109" s="8" t="s">
        <v>278</v>
      </c>
      <c r="J109" s="8">
        <v>131250127</v>
      </c>
      <c r="K109" s="8" t="s">
        <v>47</v>
      </c>
      <c r="L109" s="9">
        <f>1.15*Table1[[#This Row],[القيمة]]</f>
        <v>32405270.399999999</v>
      </c>
      <c r="M109" s="10" t="s">
        <v>279</v>
      </c>
      <c r="N109" s="11">
        <v>28178496</v>
      </c>
      <c r="O109" s="20" t="s">
        <v>280</v>
      </c>
      <c r="P109" s="11" t="s">
        <v>96</v>
      </c>
      <c r="Q109" s="11" t="s">
        <v>281</v>
      </c>
      <c r="R109" s="8" t="s">
        <v>63</v>
      </c>
      <c r="S109" s="10" t="s">
        <v>282</v>
      </c>
      <c r="T109" s="8" t="s">
        <v>60</v>
      </c>
      <c r="U109" s="8" t="s">
        <v>65</v>
      </c>
      <c r="V109" s="8" t="s">
        <v>65</v>
      </c>
      <c r="W109" s="8" t="s">
        <v>105</v>
      </c>
      <c r="X109" s="8" t="s">
        <v>75</v>
      </c>
      <c r="Y109" s="14">
        <v>45971</v>
      </c>
      <c r="Z109" s="14">
        <v>47210</v>
      </c>
      <c r="AA109" s="8"/>
      <c r="AB109" s="10" t="s">
        <v>282</v>
      </c>
      <c r="AC109" s="10" t="s">
        <v>91</v>
      </c>
      <c r="AD109" s="12">
        <f>Table1[[#This Row],[القيمة]]</f>
        <v>28178496</v>
      </c>
      <c r="AE109" s="8"/>
      <c r="AF109" s="8"/>
      <c r="AG109" s="8"/>
      <c r="AH109" s="46" t="s">
        <v>65</v>
      </c>
      <c r="AI109" s="8" t="s">
        <v>133</v>
      </c>
      <c r="AJ109" s="8">
        <v>0.84</v>
      </c>
      <c r="AK109" s="8">
        <v>6.55</v>
      </c>
      <c r="AL109" s="8">
        <v>-5.71</v>
      </c>
      <c r="AM109" s="8" t="s">
        <v>105</v>
      </c>
      <c r="AN109" s="8" t="s">
        <v>105</v>
      </c>
      <c r="AO109" s="8">
        <v>0</v>
      </c>
      <c r="AP109" s="8">
        <v>0</v>
      </c>
      <c r="AQ109" s="8"/>
      <c r="AR109" s="8">
        <v>47</v>
      </c>
      <c r="AS109" s="8">
        <v>-1.59</v>
      </c>
      <c r="AT109" s="54"/>
      <c r="AU109" s="54"/>
    </row>
    <row r="110" spans="1:47" ht="49.95" customHeight="1" x14ac:dyDescent="0.25">
      <c r="A110" s="8">
        <f>SUBTOTAL(3, $J$2:J110)</f>
        <v>104</v>
      </c>
      <c r="B110" s="8" t="s">
        <v>180</v>
      </c>
      <c r="C110" s="8" t="s">
        <v>47</v>
      </c>
      <c r="D110" s="8">
        <v>44.117482600000002</v>
      </c>
      <c r="E110" s="8">
        <v>17.483978</v>
      </c>
      <c r="F110" s="8">
        <v>3356</v>
      </c>
      <c r="G110" s="8">
        <v>1561.8</v>
      </c>
      <c r="H110" s="8" t="s">
        <v>283</v>
      </c>
      <c r="I110" s="8" t="s">
        <v>284</v>
      </c>
      <c r="J110" s="8">
        <v>131250112</v>
      </c>
      <c r="K110" s="8" t="s">
        <v>47</v>
      </c>
      <c r="L110" s="9">
        <f>1.15*Table1[[#This Row],[القيمة]]</f>
        <v>4439900.4499999993</v>
      </c>
      <c r="M110" s="10" t="s">
        <v>285</v>
      </c>
      <c r="N110" s="11">
        <v>3860783</v>
      </c>
      <c r="O110" s="20" t="s">
        <v>286</v>
      </c>
      <c r="P110" s="11" t="s">
        <v>111</v>
      </c>
      <c r="Q110" s="11" t="s">
        <v>131</v>
      </c>
      <c r="R110" s="8" t="s">
        <v>63</v>
      </c>
      <c r="S110" s="10" t="s">
        <v>287</v>
      </c>
      <c r="T110" s="8" t="s">
        <v>60</v>
      </c>
      <c r="U110" s="8" t="s">
        <v>288</v>
      </c>
      <c r="V110" s="8" t="s">
        <v>289</v>
      </c>
      <c r="W110" s="8" t="s">
        <v>105</v>
      </c>
      <c r="X110" s="8" t="s">
        <v>75</v>
      </c>
      <c r="Y110" s="14">
        <v>45879</v>
      </c>
      <c r="Z110" s="14">
        <v>46973</v>
      </c>
      <c r="AA110" s="8"/>
      <c r="AB110" s="10" t="s">
        <v>287</v>
      </c>
      <c r="AC110" s="10" t="s">
        <v>90</v>
      </c>
      <c r="AD110" s="12">
        <f>Table1[[#This Row],[القيمة]]</f>
        <v>3860783</v>
      </c>
      <c r="AE110" s="8"/>
      <c r="AF110" s="8"/>
      <c r="AG110" s="8"/>
      <c r="AH110" s="8" t="s">
        <v>288</v>
      </c>
      <c r="AI110" s="8" t="s">
        <v>114</v>
      </c>
      <c r="AJ110" s="8">
        <v>18.850000000000001</v>
      </c>
      <c r="AK110" s="8">
        <v>24.08</v>
      </c>
      <c r="AL110" s="8">
        <v>-5.23</v>
      </c>
      <c r="AM110" s="8" t="s">
        <v>105</v>
      </c>
      <c r="AN110" s="8" t="s">
        <v>105</v>
      </c>
      <c r="AO110" s="8">
        <v>0</v>
      </c>
      <c r="AP110" s="8">
        <v>1</v>
      </c>
      <c r="AQ110" s="8"/>
      <c r="AR110" s="8" t="s">
        <v>290</v>
      </c>
      <c r="AS110" s="8">
        <v>-3.92</v>
      </c>
      <c r="AT110" s="54"/>
      <c r="AU110" s="54"/>
    </row>
    <row r="111" spans="1:47" ht="49.95" customHeight="1" x14ac:dyDescent="0.25">
      <c r="A111" s="8">
        <f>SUBTOTAL(3, $J$2:J111)</f>
        <v>105</v>
      </c>
      <c r="B111" s="8" t="s">
        <v>126</v>
      </c>
      <c r="C111" s="8" t="s">
        <v>47</v>
      </c>
      <c r="D111" s="8">
        <v>44.127661600000003</v>
      </c>
      <c r="E111" s="8">
        <v>17.492057200000001</v>
      </c>
      <c r="F111" s="8">
        <v>71500</v>
      </c>
      <c r="G111" s="8">
        <v>38988</v>
      </c>
      <c r="H111" s="8" t="s">
        <v>291</v>
      </c>
      <c r="I111" s="8" t="s">
        <v>292</v>
      </c>
      <c r="J111" s="8">
        <v>131250096</v>
      </c>
      <c r="K111" s="8" t="s">
        <v>47</v>
      </c>
      <c r="L111" s="9">
        <f>1.15*Table1[[#This Row],[القيمة]]</f>
        <v>42465475</v>
      </c>
      <c r="M111" s="10" t="s">
        <v>293</v>
      </c>
      <c r="N111" s="11">
        <v>36926500</v>
      </c>
      <c r="O111" s="20" t="s">
        <v>294</v>
      </c>
      <c r="P111" s="11" t="s">
        <v>111</v>
      </c>
      <c r="Q111" s="11" t="s">
        <v>63</v>
      </c>
      <c r="R111" s="8" t="s">
        <v>63</v>
      </c>
      <c r="S111" s="10" t="s">
        <v>295</v>
      </c>
      <c r="T111" s="8" t="s">
        <v>60</v>
      </c>
      <c r="U111" s="8" t="s">
        <v>296</v>
      </c>
      <c r="V111" s="13" t="s">
        <v>296</v>
      </c>
      <c r="W111" s="8" t="s">
        <v>105</v>
      </c>
      <c r="X111" s="8" t="s">
        <v>75</v>
      </c>
      <c r="Y111" s="14">
        <v>45904</v>
      </c>
      <c r="Z111" s="14">
        <v>46998</v>
      </c>
      <c r="AA111" s="8"/>
      <c r="AB111" s="10" t="s">
        <v>297</v>
      </c>
      <c r="AC111" s="10" t="s">
        <v>91</v>
      </c>
      <c r="AD111" s="12">
        <f>Table1[[#This Row],[القيمة]]</f>
        <v>36926500</v>
      </c>
      <c r="AE111" s="8"/>
      <c r="AF111" s="16"/>
      <c r="AG111" s="8"/>
      <c r="AH111" s="45" t="s">
        <v>296</v>
      </c>
      <c r="AI111" s="8" t="s">
        <v>298</v>
      </c>
      <c r="AJ111" s="8">
        <v>23.02</v>
      </c>
      <c r="AK111" s="8">
        <v>29.02</v>
      </c>
      <c r="AL111" s="8">
        <v>-6</v>
      </c>
      <c r="AM111" s="8" t="s">
        <v>105</v>
      </c>
      <c r="AN111" s="8" t="s">
        <v>105</v>
      </c>
      <c r="AO111" s="8">
        <v>0</v>
      </c>
      <c r="AP111" s="8">
        <v>0</v>
      </c>
      <c r="AQ111" s="8"/>
      <c r="AR111" s="8">
        <v>0</v>
      </c>
      <c r="AS111" s="8">
        <v>-3.17</v>
      </c>
      <c r="AT111" s="54"/>
      <c r="AU111" s="54" t="s">
        <v>47</v>
      </c>
    </row>
    <row r="112" spans="1:47" ht="49.95" customHeight="1" x14ac:dyDescent="0.25">
      <c r="A112" s="8">
        <f>SUBTOTAL(3, $J$2:J112)</f>
        <v>106</v>
      </c>
      <c r="B112" s="8" t="s">
        <v>126</v>
      </c>
      <c r="C112" s="8" t="s">
        <v>47</v>
      </c>
      <c r="D112" s="8">
        <v>44.508904000000001</v>
      </c>
      <c r="E112" s="8">
        <v>17.637004999999998</v>
      </c>
      <c r="F112" s="8">
        <v>179600</v>
      </c>
      <c r="G112" s="8">
        <v>27416</v>
      </c>
      <c r="H112" s="8" t="s">
        <v>302</v>
      </c>
      <c r="I112" s="8" t="s">
        <v>303</v>
      </c>
      <c r="J112" s="8">
        <v>131240234</v>
      </c>
      <c r="K112" s="8" t="s">
        <v>47</v>
      </c>
      <c r="L112" s="9">
        <f>1.15*Table1[[#This Row],[القيمة]]</f>
        <v>57056157.499999993</v>
      </c>
      <c r="M112" s="10" t="s">
        <v>304</v>
      </c>
      <c r="N112" s="11">
        <v>49614050</v>
      </c>
      <c r="O112" s="20" t="s">
        <v>305</v>
      </c>
      <c r="P112" s="11" t="s">
        <v>96</v>
      </c>
      <c r="Q112" s="11" t="s">
        <v>63</v>
      </c>
      <c r="R112" s="8" t="s">
        <v>63</v>
      </c>
      <c r="S112" s="10" t="s">
        <v>306</v>
      </c>
      <c r="T112" s="8" t="s">
        <v>60</v>
      </c>
      <c r="U112" s="8" t="s">
        <v>288</v>
      </c>
      <c r="V112" s="8" t="s">
        <v>289</v>
      </c>
      <c r="W112" s="8" t="s">
        <v>105</v>
      </c>
      <c r="X112" s="8" t="s">
        <v>75</v>
      </c>
      <c r="Y112" s="14">
        <v>45701</v>
      </c>
      <c r="Z112" s="14">
        <v>47160</v>
      </c>
      <c r="AA112" s="8"/>
      <c r="AB112" s="10" t="s">
        <v>306</v>
      </c>
      <c r="AC112" s="10" t="s">
        <v>91</v>
      </c>
      <c r="AD112" s="12">
        <f>Table1[[#This Row],[القيمة]]</f>
        <v>49614050</v>
      </c>
      <c r="AE112" s="8"/>
      <c r="AF112" s="8"/>
      <c r="AG112" s="8"/>
      <c r="AH112" s="8" t="s">
        <v>288</v>
      </c>
      <c r="AI112" s="8" t="s">
        <v>298</v>
      </c>
      <c r="AJ112" s="8">
        <v>15.4</v>
      </c>
      <c r="AK112" s="8">
        <v>15.95</v>
      </c>
      <c r="AL112" s="8">
        <v>-0.55000000000000004</v>
      </c>
      <c r="AM112" s="8" t="s">
        <v>87</v>
      </c>
      <c r="AN112" s="8" t="s">
        <v>87</v>
      </c>
      <c r="AO112" s="8">
        <v>0</v>
      </c>
      <c r="AP112" s="8">
        <v>0</v>
      </c>
      <c r="AQ112" s="8"/>
      <c r="AR112" s="8">
        <v>39</v>
      </c>
      <c r="AS112" s="8">
        <v>0.35</v>
      </c>
      <c r="AT112" s="54"/>
      <c r="AU112" s="54"/>
    </row>
    <row r="113" spans="1:47" ht="49.95" customHeight="1" x14ac:dyDescent="0.25">
      <c r="A113" s="8">
        <f>SUBTOTAL(3, $J$2:J113)</f>
        <v>107</v>
      </c>
      <c r="B113" s="8" t="s">
        <v>44</v>
      </c>
      <c r="C113" s="8" t="s">
        <v>47</v>
      </c>
      <c r="D113" s="8">
        <v>44.165011999999997</v>
      </c>
      <c r="E113" s="8">
        <v>17.497805</v>
      </c>
      <c r="F113" s="8">
        <v>9690</v>
      </c>
      <c r="G113" s="8">
        <v>3094</v>
      </c>
      <c r="H113" s="8" t="s">
        <v>307</v>
      </c>
      <c r="I113" s="8" t="s">
        <v>308</v>
      </c>
      <c r="J113" s="8">
        <v>131240222</v>
      </c>
      <c r="K113" s="8" t="s">
        <v>47</v>
      </c>
      <c r="L113" s="9">
        <f>1.15*Table1[[#This Row],[القيمة]]</f>
        <v>58128642.899999999</v>
      </c>
      <c r="M113" s="10" t="s">
        <v>309</v>
      </c>
      <c r="N113" s="11">
        <v>50546646</v>
      </c>
      <c r="O113" s="20" t="s">
        <v>310</v>
      </c>
      <c r="P113" s="11" t="s">
        <v>96</v>
      </c>
      <c r="Q113" s="11" t="s">
        <v>63</v>
      </c>
      <c r="R113" s="8" t="s">
        <v>63</v>
      </c>
      <c r="S113" s="10" t="s">
        <v>311</v>
      </c>
      <c r="T113" s="8" t="s">
        <v>60</v>
      </c>
      <c r="U113" s="8" t="s">
        <v>288</v>
      </c>
      <c r="V113" s="8" t="s">
        <v>289</v>
      </c>
      <c r="W113" s="8" t="s">
        <v>105</v>
      </c>
      <c r="X113" s="8" t="s">
        <v>75</v>
      </c>
      <c r="Y113" s="14">
        <v>45648</v>
      </c>
      <c r="Z113" s="14">
        <v>46925</v>
      </c>
      <c r="AA113" s="8"/>
      <c r="AB113" s="10" t="s">
        <v>312</v>
      </c>
      <c r="AC113" s="10" t="s">
        <v>90</v>
      </c>
      <c r="AD113" s="12">
        <f>Table1[[#This Row],[القيمة]]</f>
        <v>50546646</v>
      </c>
      <c r="AE113" s="8"/>
      <c r="AF113" s="8"/>
      <c r="AG113" s="8"/>
      <c r="AH113" s="8" t="s">
        <v>288</v>
      </c>
      <c r="AI113" s="8" t="s">
        <v>114</v>
      </c>
      <c r="AJ113" s="8">
        <v>20.88</v>
      </c>
      <c r="AK113" s="8">
        <v>25.17</v>
      </c>
      <c r="AL113" s="8">
        <v>-4.29</v>
      </c>
      <c r="AM113" s="8" t="s">
        <v>105</v>
      </c>
      <c r="AN113" s="8" t="s">
        <v>105</v>
      </c>
      <c r="AO113" s="8">
        <v>0</v>
      </c>
      <c r="AP113" s="8">
        <v>0</v>
      </c>
      <c r="AQ113" s="8"/>
      <c r="AR113" s="8">
        <v>48</v>
      </c>
      <c r="AS113" s="8">
        <v>-0.7</v>
      </c>
      <c r="AT113" s="54"/>
      <c r="AU113" s="54"/>
    </row>
    <row r="114" spans="1:47" ht="49.95" customHeight="1" x14ac:dyDescent="0.25">
      <c r="A114" s="8">
        <f>SUBTOTAL(3, $J$2:J114)</f>
        <v>108</v>
      </c>
      <c r="B114" s="8" t="s">
        <v>126</v>
      </c>
      <c r="C114" s="8" t="s">
        <v>47</v>
      </c>
      <c r="D114" s="8">
        <v>44.177678</v>
      </c>
      <c r="E114" s="8">
        <v>17.492173999999999</v>
      </c>
      <c r="F114" s="8">
        <v>16000</v>
      </c>
      <c r="G114" s="8">
        <v>20672</v>
      </c>
      <c r="H114" s="8" t="s">
        <v>313</v>
      </c>
      <c r="I114" s="8" t="s">
        <v>314</v>
      </c>
      <c r="J114" s="8">
        <v>131240182</v>
      </c>
      <c r="K114" s="8" t="s">
        <v>47</v>
      </c>
      <c r="L114" s="9">
        <f>1.15*Table1[[#This Row],[القيمة]]</f>
        <v>7112646.4999999991</v>
      </c>
      <c r="M114" s="10" t="s">
        <v>315</v>
      </c>
      <c r="N114" s="11">
        <v>6184910</v>
      </c>
      <c r="O114" s="20" t="s">
        <v>316</v>
      </c>
      <c r="P114" s="11" t="s">
        <v>96</v>
      </c>
      <c r="Q114" s="11" t="s">
        <v>131</v>
      </c>
      <c r="R114" s="8" t="s">
        <v>63</v>
      </c>
      <c r="S114" s="10" t="s">
        <v>201</v>
      </c>
      <c r="T114" s="8" t="s">
        <v>60</v>
      </c>
      <c r="U114" s="8" t="s">
        <v>296</v>
      </c>
      <c r="V114" s="13" t="s">
        <v>296</v>
      </c>
      <c r="W114" s="8" t="s">
        <v>87</v>
      </c>
      <c r="X114" s="8" t="s">
        <v>75</v>
      </c>
      <c r="Y114" s="14">
        <v>45630</v>
      </c>
      <c r="Z114" s="14">
        <v>46735</v>
      </c>
      <c r="AA114" s="8"/>
      <c r="AB114" s="10" t="s">
        <v>202</v>
      </c>
      <c r="AC114" s="10" t="s">
        <v>91</v>
      </c>
      <c r="AD114" s="12">
        <f>Table1[[#This Row],[القيمة]]</f>
        <v>6184910</v>
      </c>
      <c r="AE114" s="8"/>
      <c r="AF114" s="8"/>
      <c r="AG114" s="8"/>
      <c r="AH114" s="45" t="s">
        <v>296</v>
      </c>
      <c r="AI114" s="8" t="s">
        <v>298</v>
      </c>
      <c r="AJ114" s="8">
        <v>77.95</v>
      </c>
      <c r="AK114" s="8">
        <v>76.400000000000006</v>
      </c>
      <c r="AL114" s="8">
        <v>1.55</v>
      </c>
      <c r="AM114" s="8" t="s">
        <v>105</v>
      </c>
      <c r="AN114" s="8" t="s">
        <v>105</v>
      </c>
      <c r="AO114" s="8">
        <v>0</v>
      </c>
      <c r="AP114" s="8">
        <v>0</v>
      </c>
      <c r="AQ114" s="8"/>
      <c r="AR114" s="8">
        <v>0</v>
      </c>
      <c r="AS114" s="8">
        <v>-0.32</v>
      </c>
      <c r="AT114" s="54"/>
      <c r="AU114" s="54"/>
    </row>
    <row r="115" spans="1:47" ht="49.95" customHeight="1" x14ac:dyDescent="0.25">
      <c r="A115" s="8">
        <f>SUBTOTAL(3, $J$2:J115)</f>
        <v>109</v>
      </c>
      <c r="B115" s="8" t="s">
        <v>91</v>
      </c>
      <c r="C115" s="8" t="s">
        <v>47</v>
      </c>
      <c r="D115" s="8">
        <v>44.157933999999997</v>
      </c>
      <c r="E115" s="8">
        <v>17.620342000000001</v>
      </c>
      <c r="F115" s="8">
        <v>26500</v>
      </c>
      <c r="G115" s="8">
        <v>8054</v>
      </c>
      <c r="H115" s="8" t="s">
        <v>323</v>
      </c>
      <c r="I115" s="8" t="s">
        <v>324</v>
      </c>
      <c r="J115" s="8">
        <v>131240132</v>
      </c>
      <c r="K115" s="8" t="s">
        <v>47</v>
      </c>
      <c r="L115" s="9">
        <f>1.15*Table1[[#This Row],[القيمة]]</f>
        <v>50485523.249999993</v>
      </c>
      <c r="M115" s="10" t="s">
        <v>325</v>
      </c>
      <c r="N115" s="11">
        <v>43900455</v>
      </c>
      <c r="O115" s="20" t="s">
        <v>326</v>
      </c>
      <c r="P115" s="11" t="s">
        <v>96</v>
      </c>
      <c r="Q115" s="11" t="s">
        <v>63</v>
      </c>
      <c r="R115" s="8" t="s">
        <v>63</v>
      </c>
      <c r="S115" s="10" t="s">
        <v>327</v>
      </c>
      <c r="T115" s="8" t="s">
        <v>60</v>
      </c>
      <c r="U115" s="8" t="s">
        <v>296</v>
      </c>
      <c r="V115" s="13" t="s">
        <v>296</v>
      </c>
      <c r="W115" s="8" t="s">
        <v>105</v>
      </c>
      <c r="X115" s="8" t="s">
        <v>75</v>
      </c>
      <c r="Y115" s="14">
        <v>45564</v>
      </c>
      <c r="Z115" s="14">
        <v>47085</v>
      </c>
      <c r="AA115" s="8"/>
      <c r="AB115" s="10" t="s">
        <v>327</v>
      </c>
      <c r="AC115" s="10" t="s">
        <v>91</v>
      </c>
      <c r="AD115" s="12">
        <f>Table1[[#This Row],[القيمة]]</f>
        <v>43900455</v>
      </c>
      <c r="AE115" s="8"/>
      <c r="AF115" s="8"/>
      <c r="AG115" s="8"/>
      <c r="AH115" s="45" t="s">
        <v>296</v>
      </c>
      <c r="AI115" s="8" t="s">
        <v>114</v>
      </c>
      <c r="AJ115" s="8">
        <v>22.98</v>
      </c>
      <c r="AK115" s="8">
        <v>28.97</v>
      </c>
      <c r="AL115" s="8">
        <v>-5.99</v>
      </c>
      <c r="AM115" s="8" t="s">
        <v>105</v>
      </c>
      <c r="AN115" s="8" t="s">
        <v>105</v>
      </c>
      <c r="AO115" s="8">
        <v>0</v>
      </c>
      <c r="AP115" s="8">
        <v>1</v>
      </c>
      <c r="AQ115" s="8"/>
      <c r="AR115" s="8">
        <v>0</v>
      </c>
      <c r="AS115" s="8">
        <v>-1.27</v>
      </c>
      <c r="AT115" s="54"/>
      <c r="AU115" s="54"/>
    </row>
    <row r="116" spans="1:47" ht="49.95" customHeight="1" x14ac:dyDescent="0.25">
      <c r="A116" s="8">
        <f>SUBTOTAL(3, $J$2:J116)</f>
        <v>110</v>
      </c>
      <c r="B116" s="8" t="s">
        <v>91</v>
      </c>
      <c r="C116" s="8" t="s">
        <v>47</v>
      </c>
      <c r="D116" s="8">
        <v>44.159640000000003</v>
      </c>
      <c r="E116" s="8">
        <v>17.497551000000001</v>
      </c>
      <c r="F116" s="8">
        <v>0</v>
      </c>
      <c r="G116" s="8">
        <v>0</v>
      </c>
      <c r="H116" s="8" t="s">
        <v>334</v>
      </c>
      <c r="I116" s="8" t="s">
        <v>335</v>
      </c>
      <c r="J116" s="8">
        <v>131240115</v>
      </c>
      <c r="K116" s="8" t="s">
        <v>47</v>
      </c>
      <c r="L116" s="9">
        <f>1.15*Table1[[#This Row],[القيمة]]</f>
        <v>25630738.849999998</v>
      </c>
      <c r="M116" s="10" t="s">
        <v>336</v>
      </c>
      <c r="N116" s="11">
        <v>22287599</v>
      </c>
      <c r="O116" s="20" t="s">
        <v>337</v>
      </c>
      <c r="P116" s="11" t="s">
        <v>96</v>
      </c>
      <c r="Q116" s="11" t="s">
        <v>63</v>
      </c>
      <c r="R116" s="8" t="s">
        <v>63</v>
      </c>
      <c r="S116" s="10" t="s">
        <v>338</v>
      </c>
      <c r="T116" s="8" t="s">
        <v>60</v>
      </c>
      <c r="U116" s="8" t="s">
        <v>296</v>
      </c>
      <c r="V116" s="13" t="s">
        <v>296</v>
      </c>
      <c r="W116" s="8" t="s">
        <v>87</v>
      </c>
      <c r="X116" s="8" t="s">
        <v>75</v>
      </c>
      <c r="Y116" s="14">
        <v>45585</v>
      </c>
      <c r="Z116" s="14">
        <v>46706</v>
      </c>
      <c r="AA116" s="8"/>
      <c r="AB116" s="10" t="s">
        <v>338</v>
      </c>
      <c r="AC116" s="10" t="s">
        <v>91</v>
      </c>
      <c r="AD116" s="12">
        <f>Table1[[#This Row],[القيمة]]</f>
        <v>22287599</v>
      </c>
      <c r="AE116" s="8"/>
      <c r="AF116" s="8"/>
      <c r="AG116" s="8"/>
      <c r="AH116" s="45" t="s">
        <v>296</v>
      </c>
      <c r="AI116" s="8" t="s">
        <v>114</v>
      </c>
      <c r="AJ116" s="8">
        <v>34.950000000000003</v>
      </c>
      <c r="AK116" s="8">
        <v>30.05</v>
      </c>
      <c r="AL116" s="8">
        <v>4.9000000000000004</v>
      </c>
      <c r="AM116" s="8" t="s">
        <v>87</v>
      </c>
      <c r="AN116" s="8" t="s">
        <v>87</v>
      </c>
      <c r="AO116" s="8">
        <v>0</v>
      </c>
      <c r="AP116" s="8">
        <v>1</v>
      </c>
      <c r="AQ116" s="8"/>
      <c r="AR116" s="8">
        <v>0</v>
      </c>
      <c r="AS116" s="8">
        <v>0.67</v>
      </c>
      <c r="AT116" s="54"/>
      <c r="AU116" s="54"/>
    </row>
    <row r="117" spans="1:47" ht="49.95" customHeight="1" x14ac:dyDescent="0.25">
      <c r="A117" s="8">
        <f>SUBTOTAL(3, $J$2:J117)</f>
        <v>111</v>
      </c>
      <c r="B117" s="8" t="s">
        <v>126</v>
      </c>
      <c r="C117" s="8" t="s">
        <v>47</v>
      </c>
      <c r="D117" s="8">
        <v>44.131686999999999</v>
      </c>
      <c r="E117" s="8">
        <v>18.058522</v>
      </c>
      <c r="F117" s="8">
        <v>25450</v>
      </c>
      <c r="G117" s="8">
        <v>25362</v>
      </c>
      <c r="H117" s="8" t="s">
        <v>339</v>
      </c>
      <c r="I117" s="8" t="s">
        <v>340</v>
      </c>
      <c r="J117" s="8">
        <v>131240056</v>
      </c>
      <c r="K117" s="8" t="s">
        <v>47</v>
      </c>
      <c r="L117" s="9">
        <f>1.15*Table1[[#This Row],[القيمة]]</f>
        <v>31507941.959999997</v>
      </c>
      <c r="M117" s="10" t="s">
        <v>341</v>
      </c>
      <c r="N117" s="11">
        <v>27398210.399999999</v>
      </c>
      <c r="O117" s="20" t="s">
        <v>342</v>
      </c>
      <c r="P117" s="11" t="s">
        <v>96</v>
      </c>
      <c r="Q117" s="11" t="s">
        <v>281</v>
      </c>
      <c r="R117" s="8" t="s">
        <v>63</v>
      </c>
      <c r="S117" s="10" t="s">
        <v>201</v>
      </c>
      <c r="T117" s="8" t="s">
        <v>60</v>
      </c>
      <c r="U117" s="8" t="s">
        <v>296</v>
      </c>
      <c r="V117" s="13" t="s">
        <v>296</v>
      </c>
      <c r="W117" s="8" t="s">
        <v>105</v>
      </c>
      <c r="X117" s="8" t="s">
        <v>75</v>
      </c>
      <c r="Y117" s="14">
        <v>45431</v>
      </c>
      <c r="Z117" s="14">
        <v>46494</v>
      </c>
      <c r="AA117" s="8"/>
      <c r="AB117" s="10" t="s">
        <v>202</v>
      </c>
      <c r="AC117" s="10" t="s">
        <v>91</v>
      </c>
      <c r="AD117" s="12">
        <f>Table1[[#This Row],[القيمة]]</f>
        <v>27398210.399999999</v>
      </c>
      <c r="AE117" s="8"/>
      <c r="AF117" s="16"/>
      <c r="AG117" s="8"/>
      <c r="AH117" s="45" t="s">
        <v>296</v>
      </c>
      <c r="AI117" s="8" t="s">
        <v>298</v>
      </c>
      <c r="AJ117" s="8">
        <v>78.58</v>
      </c>
      <c r="AK117" s="8">
        <v>87.36</v>
      </c>
      <c r="AL117" s="8">
        <v>-8.7799999999999994</v>
      </c>
      <c r="AM117" s="8" t="s">
        <v>105</v>
      </c>
      <c r="AN117" s="8" t="s">
        <v>105</v>
      </c>
      <c r="AO117" s="8">
        <v>0</v>
      </c>
      <c r="AP117" s="8">
        <v>1</v>
      </c>
      <c r="AQ117" s="8"/>
      <c r="AR117" s="8">
        <v>0</v>
      </c>
      <c r="AS117" s="8">
        <v>-9.68</v>
      </c>
      <c r="AT117" s="54"/>
      <c r="AU117" s="54"/>
    </row>
    <row r="118" spans="1:47" ht="49.95" customHeight="1" x14ac:dyDescent="0.25">
      <c r="A118" s="54">
        <f>SUBTOTAL(3, $J$2:J118)</f>
        <v>112</v>
      </c>
      <c r="B118" s="54"/>
      <c r="C118" s="54"/>
      <c r="D118" s="8"/>
      <c r="E118" s="8"/>
      <c r="F118" s="8"/>
      <c r="G118" s="8"/>
      <c r="H118" s="8"/>
      <c r="I118" s="8"/>
      <c r="J118" s="54">
        <v>121260207</v>
      </c>
      <c r="K118" s="54" t="s">
        <v>47</v>
      </c>
      <c r="L118" s="82">
        <f>1.15*Table1[[#This Row],[القيمة]]</f>
        <v>4057558.8</v>
      </c>
      <c r="M118" s="56" t="s">
        <v>361</v>
      </c>
      <c r="N118" s="80">
        <v>3528312</v>
      </c>
      <c r="O118" s="20"/>
      <c r="P118" s="80"/>
      <c r="Q118" s="80"/>
      <c r="R118" s="54" t="s">
        <v>49</v>
      </c>
      <c r="S118" s="56" t="s">
        <v>362</v>
      </c>
      <c r="T118" s="54"/>
      <c r="U118" s="19" t="s">
        <v>51</v>
      </c>
      <c r="V118" s="54"/>
      <c r="W118" s="54" t="s">
        <v>87</v>
      </c>
      <c r="X118" s="54" t="s">
        <v>75</v>
      </c>
      <c r="Y118" s="55"/>
      <c r="Z118" s="55"/>
      <c r="AA118" s="55" t="s">
        <v>76</v>
      </c>
      <c r="AB118" s="56" t="s">
        <v>362</v>
      </c>
      <c r="AC118" s="56"/>
      <c r="AD118" s="57">
        <f>Table1[[#This Row],[القيمة]]</f>
        <v>3528312</v>
      </c>
      <c r="AE118" s="54"/>
      <c r="AF118" s="112" t="s">
        <v>51</v>
      </c>
      <c r="AG118" s="54"/>
      <c r="AH118" s="54"/>
      <c r="AI118" s="54"/>
      <c r="AJ118" s="54"/>
      <c r="AK118" s="54"/>
      <c r="AL118" s="54"/>
      <c r="AM118" s="8"/>
      <c r="AN118" s="8"/>
      <c r="AO118" s="54"/>
      <c r="AP118" s="54"/>
      <c r="AQ118" s="54"/>
      <c r="AR118" s="54"/>
      <c r="AS118" s="54"/>
      <c r="AT118" s="54"/>
      <c r="AU118" s="54"/>
    </row>
    <row r="119" spans="1:47" ht="49.95" customHeight="1" x14ac:dyDescent="0.25">
      <c r="A119" s="8">
        <f>SUBTOTAL(3, $J$2:J119)</f>
        <v>113</v>
      </c>
      <c r="B119" s="8" t="s">
        <v>363</v>
      </c>
      <c r="C119" s="8" t="s">
        <v>55</v>
      </c>
      <c r="D119" s="8">
        <v>42.573562000000003</v>
      </c>
      <c r="E119" s="8">
        <v>16.890163999999999</v>
      </c>
      <c r="F119" s="8">
        <v>24000</v>
      </c>
      <c r="G119" s="8">
        <v>7081</v>
      </c>
      <c r="H119" s="8" t="s">
        <v>364</v>
      </c>
      <c r="I119" s="8" t="s">
        <v>365</v>
      </c>
      <c r="J119" s="8">
        <v>121260008</v>
      </c>
      <c r="K119" s="8" t="s">
        <v>47</v>
      </c>
      <c r="L119" s="9">
        <f>1.15*Table1[[#This Row],[القيمة]]</f>
        <v>57489638.902499996</v>
      </c>
      <c r="M119" s="10" t="s">
        <v>366</v>
      </c>
      <c r="N119" s="11">
        <v>49990990.350000001</v>
      </c>
      <c r="O119" s="20" t="s">
        <v>367</v>
      </c>
      <c r="P119" s="11"/>
      <c r="Q119" s="11" t="s">
        <v>49</v>
      </c>
      <c r="R119" s="8" t="s">
        <v>49</v>
      </c>
      <c r="S119" s="10" t="s">
        <v>368</v>
      </c>
      <c r="T119" s="8"/>
      <c r="U119" s="8" t="s">
        <v>369</v>
      </c>
      <c r="V119" s="8" t="s">
        <v>369</v>
      </c>
      <c r="W119" s="8" t="s">
        <v>87</v>
      </c>
      <c r="X119" s="8" t="s">
        <v>75</v>
      </c>
      <c r="Y119" s="14">
        <v>46138</v>
      </c>
      <c r="Z119" s="14">
        <v>46868</v>
      </c>
      <c r="AA119" s="8"/>
      <c r="AB119" s="10" t="s">
        <v>368</v>
      </c>
      <c r="AC119" s="10" t="s">
        <v>90</v>
      </c>
      <c r="AD119" s="12">
        <f>Table1[[#This Row],[القيمة]]</f>
        <v>49990990.350000001</v>
      </c>
      <c r="AE119" s="8"/>
      <c r="AF119" s="8" t="s">
        <v>369</v>
      </c>
      <c r="AG119" s="8"/>
      <c r="AH119" s="8"/>
      <c r="AI119" s="8"/>
      <c r="AJ119" s="8">
        <v>0</v>
      </c>
      <c r="AK119" s="8">
        <v>0</v>
      </c>
      <c r="AL119" s="8">
        <v>0</v>
      </c>
      <c r="AM119" s="8" t="s">
        <v>87</v>
      </c>
      <c r="AN119" s="8" t="s">
        <v>87</v>
      </c>
      <c r="AO119" s="8"/>
      <c r="AP119" s="8"/>
      <c r="AQ119" s="8"/>
      <c r="AR119" s="8"/>
      <c r="AS119" s="8">
        <v>0</v>
      </c>
      <c r="AT119" s="54"/>
      <c r="AU119" s="54"/>
    </row>
    <row r="120" spans="1:47" ht="49.95" customHeight="1" x14ac:dyDescent="0.25">
      <c r="A120" s="8">
        <f>SUBTOTAL(3, $J$2:J120)</f>
        <v>114</v>
      </c>
      <c r="B120" s="8"/>
      <c r="C120" s="8" t="s">
        <v>80</v>
      </c>
      <c r="D120" s="8"/>
      <c r="E120" s="8"/>
      <c r="F120" s="8"/>
      <c r="G120" s="8"/>
      <c r="H120" s="8"/>
      <c r="I120" s="8"/>
      <c r="J120" s="8">
        <v>121250423</v>
      </c>
      <c r="K120" s="8" t="s">
        <v>47</v>
      </c>
      <c r="L120" s="9">
        <f>1.15*Table1[[#This Row],[القيمة]]</f>
        <v>951624.99999999988</v>
      </c>
      <c r="M120" s="23" t="s">
        <v>370</v>
      </c>
      <c r="N120" s="11">
        <v>827500</v>
      </c>
      <c r="O120" s="20"/>
      <c r="P120" s="11"/>
      <c r="Q120" s="11" t="s">
        <v>49</v>
      </c>
      <c r="R120" s="8" t="s">
        <v>49</v>
      </c>
      <c r="S120" s="10" t="s">
        <v>371</v>
      </c>
      <c r="T120" s="8" t="s">
        <v>60</v>
      </c>
      <c r="U120" s="8" t="s">
        <v>358</v>
      </c>
      <c r="V120" s="8" t="s">
        <v>372</v>
      </c>
      <c r="W120" s="8" t="s">
        <v>373</v>
      </c>
      <c r="X120" s="8" t="s">
        <v>75</v>
      </c>
      <c r="Y120" s="14">
        <v>46076</v>
      </c>
      <c r="Z120" s="14">
        <v>46165</v>
      </c>
      <c r="AA120" s="8"/>
      <c r="AB120" s="10" t="s">
        <v>371</v>
      </c>
      <c r="AC120" s="10" t="s">
        <v>374</v>
      </c>
      <c r="AD120" s="12">
        <f>Table1[[#This Row],[القيمة]]</f>
        <v>827500</v>
      </c>
      <c r="AE120" s="8"/>
      <c r="AF120" s="8" t="s">
        <v>358</v>
      </c>
      <c r="AG120" s="8"/>
      <c r="AH120" s="8"/>
      <c r="AI120" s="8"/>
      <c r="AJ120" s="8"/>
      <c r="AK120" s="8"/>
      <c r="AL120" s="8"/>
      <c r="AM120" s="8"/>
      <c r="AN120" s="8"/>
      <c r="AO120" s="8"/>
      <c r="AP120" s="8"/>
      <c r="AQ120" s="8"/>
      <c r="AR120" s="8"/>
      <c r="AS120" s="8"/>
      <c r="AT120" s="54"/>
      <c r="AU120" s="54"/>
    </row>
    <row r="121" spans="1:47" ht="49.95" customHeight="1" x14ac:dyDescent="0.25">
      <c r="A121" s="8">
        <f>SUBTOTAL(3, $J$2:J121)</f>
        <v>115</v>
      </c>
      <c r="B121" s="8" t="s">
        <v>91</v>
      </c>
      <c r="C121" s="8" t="s">
        <v>47</v>
      </c>
      <c r="D121" s="8">
        <v>42.877039000000003</v>
      </c>
      <c r="E121" s="8">
        <v>17.005972</v>
      </c>
      <c r="F121" s="8">
        <v>170720</v>
      </c>
      <c r="G121" s="8">
        <v>0</v>
      </c>
      <c r="H121" s="8" t="s">
        <v>375</v>
      </c>
      <c r="I121" s="8" t="s">
        <v>376</v>
      </c>
      <c r="J121" s="10">
        <v>121250376</v>
      </c>
      <c r="K121" s="8" t="s">
        <v>47</v>
      </c>
      <c r="L121" s="9">
        <f>1.15*Table1[[#This Row],[القيمة]]</f>
        <v>79768025</v>
      </c>
      <c r="M121" s="20" t="s">
        <v>377</v>
      </c>
      <c r="N121" s="11">
        <v>69363500</v>
      </c>
      <c r="O121" s="20" t="s">
        <v>378</v>
      </c>
      <c r="P121" s="11"/>
      <c r="Q121" s="11" t="s">
        <v>379</v>
      </c>
      <c r="R121" s="10" t="s">
        <v>49</v>
      </c>
      <c r="S121" s="10" t="s">
        <v>338</v>
      </c>
      <c r="T121" s="8" t="s">
        <v>60</v>
      </c>
      <c r="U121" s="8" t="s">
        <v>380</v>
      </c>
      <c r="V121" s="8" t="s">
        <v>380</v>
      </c>
      <c r="W121" s="8" t="s">
        <v>87</v>
      </c>
      <c r="X121" s="8" t="s">
        <v>75</v>
      </c>
      <c r="Y121" s="14">
        <v>46111</v>
      </c>
      <c r="Z121" s="14">
        <v>47312</v>
      </c>
      <c r="AA121" s="14"/>
      <c r="AB121" s="10" t="s">
        <v>338</v>
      </c>
      <c r="AC121" s="10" t="s">
        <v>91</v>
      </c>
      <c r="AD121" s="12">
        <f>Table1[[#This Row],[القيمة]]</f>
        <v>69363500</v>
      </c>
      <c r="AE121" s="8"/>
      <c r="AF121" s="8" t="s">
        <v>380</v>
      </c>
      <c r="AG121" s="8"/>
      <c r="AH121" s="8"/>
      <c r="AI121" s="8"/>
      <c r="AJ121" s="8">
        <v>0.1</v>
      </c>
      <c r="AK121" s="8">
        <v>0</v>
      </c>
      <c r="AL121" s="8">
        <v>0.1</v>
      </c>
      <c r="AM121" s="8" t="s">
        <v>87</v>
      </c>
      <c r="AN121" s="8" t="s">
        <v>87</v>
      </c>
      <c r="AO121" s="8"/>
      <c r="AP121" s="8"/>
      <c r="AQ121" s="8"/>
      <c r="AR121" s="8"/>
      <c r="AS121" s="8">
        <v>0</v>
      </c>
      <c r="AT121" s="54"/>
      <c r="AU121" s="54"/>
    </row>
    <row r="122" spans="1:47" ht="49.95" customHeight="1" x14ac:dyDescent="0.25">
      <c r="A122" s="8">
        <f>SUBTOTAL(3, $J$2:J122)</f>
        <v>116</v>
      </c>
      <c r="B122" s="8" t="s">
        <v>180</v>
      </c>
      <c r="C122" s="8" t="s">
        <v>55</v>
      </c>
      <c r="D122" s="8">
        <v>42.628444000000002</v>
      </c>
      <c r="E122" s="8">
        <v>17.171097</v>
      </c>
      <c r="F122" s="8">
        <v>45000</v>
      </c>
      <c r="G122" s="8">
        <v>175</v>
      </c>
      <c r="H122" s="8" t="s">
        <v>383</v>
      </c>
      <c r="I122" s="8" t="s">
        <v>384</v>
      </c>
      <c r="J122" s="8">
        <v>121250339</v>
      </c>
      <c r="K122" s="8" t="s">
        <v>47</v>
      </c>
      <c r="L122" s="9">
        <f>1.15*Table1[[#This Row],[القيمة]]</f>
        <v>35880000</v>
      </c>
      <c r="M122" s="10" t="s">
        <v>385</v>
      </c>
      <c r="N122" s="11">
        <v>31200000</v>
      </c>
      <c r="O122" s="20" t="s">
        <v>386</v>
      </c>
      <c r="P122" s="11"/>
      <c r="Q122" s="11"/>
      <c r="R122" s="8" t="s">
        <v>49</v>
      </c>
      <c r="S122" s="10" t="s">
        <v>387</v>
      </c>
      <c r="T122" s="8" t="s">
        <v>60</v>
      </c>
      <c r="U122" s="8" t="s">
        <v>388</v>
      </c>
      <c r="V122" s="8" t="s">
        <v>389</v>
      </c>
      <c r="W122" s="8" t="s">
        <v>87</v>
      </c>
      <c r="X122" s="8" t="s">
        <v>75</v>
      </c>
      <c r="Y122" s="14">
        <v>46051</v>
      </c>
      <c r="Z122" s="14">
        <v>46780</v>
      </c>
      <c r="AA122" s="8"/>
      <c r="AB122" s="10" t="s">
        <v>390</v>
      </c>
      <c r="AC122" s="10" t="s">
        <v>90</v>
      </c>
      <c r="AD122" s="12">
        <f>Table1[[#This Row],[القيمة]]</f>
        <v>31200000</v>
      </c>
      <c r="AE122" s="8"/>
      <c r="AF122" s="8" t="s">
        <v>388</v>
      </c>
      <c r="AG122" s="8"/>
      <c r="AH122" s="8"/>
      <c r="AI122" s="8"/>
      <c r="AJ122" s="8">
        <v>15.37</v>
      </c>
      <c r="AK122" s="8">
        <v>5.59</v>
      </c>
      <c r="AL122" s="8">
        <v>9.7799999999999994</v>
      </c>
      <c r="AM122" s="8" t="s">
        <v>87</v>
      </c>
      <c r="AN122" s="8" t="s">
        <v>87</v>
      </c>
      <c r="AO122" s="8"/>
      <c r="AP122" s="8"/>
      <c r="AQ122" s="8"/>
      <c r="AR122" s="8">
        <v>0</v>
      </c>
      <c r="AS122" s="8">
        <v>3.08</v>
      </c>
      <c r="AT122" s="54"/>
      <c r="AU122" s="54"/>
    </row>
    <row r="123" spans="1:47" ht="49.95" customHeight="1" x14ac:dyDescent="0.25">
      <c r="A123" s="8">
        <f>SUBTOTAL(3, $J$2:J123)</f>
        <v>117</v>
      </c>
      <c r="B123" s="8" t="s">
        <v>317</v>
      </c>
      <c r="C123" s="8" t="s">
        <v>47</v>
      </c>
      <c r="D123" s="8">
        <v>42.64918175191751</v>
      </c>
      <c r="E123" s="8">
        <v>17.120584671976498</v>
      </c>
      <c r="F123" s="8">
        <v>243000</v>
      </c>
      <c r="G123" s="8">
        <v>10640</v>
      </c>
      <c r="H123" s="8" t="s">
        <v>391</v>
      </c>
      <c r="I123" s="8" t="s">
        <v>392</v>
      </c>
      <c r="J123" s="8">
        <v>121250333</v>
      </c>
      <c r="K123" s="8" t="s">
        <v>47</v>
      </c>
      <c r="L123" s="9">
        <f>1.15*Table1[[#This Row],[القيمة]]</f>
        <v>206242996.39999998</v>
      </c>
      <c r="M123" s="10" t="s">
        <v>393</v>
      </c>
      <c r="N123" s="11">
        <v>179341736</v>
      </c>
      <c r="O123" s="20" t="s">
        <v>394</v>
      </c>
      <c r="P123" s="11" t="s">
        <v>111</v>
      </c>
      <c r="Q123" s="11" t="s">
        <v>395</v>
      </c>
      <c r="R123" s="8" t="s">
        <v>49</v>
      </c>
      <c r="S123" s="10" t="s">
        <v>338</v>
      </c>
      <c r="T123" s="8" t="s">
        <v>60</v>
      </c>
      <c r="U123" s="8" t="s">
        <v>358</v>
      </c>
      <c r="V123" s="8" t="s">
        <v>372</v>
      </c>
      <c r="W123" s="8" t="s">
        <v>105</v>
      </c>
      <c r="X123" s="8" t="s">
        <v>75</v>
      </c>
      <c r="Y123" s="14">
        <v>45958</v>
      </c>
      <c r="Z123" s="14">
        <v>47222</v>
      </c>
      <c r="AA123" s="8"/>
      <c r="AB123" s="10" t="s">
        <v>338</v>
      </c>
      <c r="AC123" s="10" t="s">
        <v>91</v>
      </c>
      <c r="AD123" s="12">
        <f>Table1[[#This Row],[القيمة]]</f>
        <v>179341736</v>
      </c>
      <c r="AE123" s="8"/>
      <c r="AF123" s="8" t="s">
        <v>358</v>
      </c>
      <c r="AG123" s="8"/>
      <c r="AH123" s="8"/>
      <c r="AI123" s="8"/>
      <c r="AJ123" s="8">
        <v>0.97</v>
      </c>
      <c r="AK123" s="8">
        <v>3.35</v>
      </c>
      <c r="AL123" s="8">
        <v>-2.38</v>
      </c>
      <c r="AM123" s="8" t="s">
        <v>105</v>
      </c>
      <c r="AN123" s="8" t="s">
        <v>105</v>
      </c>
      <c r="AO123" s="8"/>
      <c r="AP123" s="8"/>
      <c r="AQ123" s="8"/>
      <c r="AR123" s="8"/>
      <c r="AS123" s="8">
        <v>-0.14000000000000001</v>
      </c>
      <c r="AT123" s="54"/>
      <c r="AU123" s="54"/>
    </row>
    <row r="124" spans="1:47" ht="49.95" customHeight="1" x14ac:dyDescent="0.25">
      <c r="A124" s="8">
        <f>SUBTOTAL(3, $J$2:J124)</f>
        <v>118</v>
      </c>
      <c r="B124" s="8" t="s">
        <v>91</v>
      </c>
      <c r="C124" s="8" t="s">
        <v>47</v>
      </c>
      <c r="D124" s="8">
        <v>42.908306000000003</v>
      </c>
      <c r="E124" s="8">
        <v>16.628474000000001</v>
      </c>
      <c r="F124" s="8">
        <v>165000</v>
      </c>
      <c r="G124" s="8">
        <v>14512</v>
      </c>
      <c r="H124" s="8" t="s">
        <v>396</v>
      </c>
      <c r="I124" s="8" t="s">
        <v>397</v>
      </c>
      <c r="J124" s="8">
        <v>121250315</v>
      </c>
      <c r="K124" s="8" t="s">
        <v>47</v>
      </c>
      <c r="L124" s="9">
        <f>1.15*Table1[[#This Row],[القيمة]]</f>
        <v>86228667.5</v>
      </c>
      <c r="M124" s="10" t="s">
        <v>398</v>
      </c>
      <c r="N124" s="11">
        <v>74981450</v>
      </c>
      <c r="O124" s="20" t="s">
        <v>399</v>
      </c>
      <c r="P124" s="11" t="s">
        <v>111</v>
      </c>
      <c r="Q124" s="11" t="s">
        <v>400</v>
      </c>
      <c r="R124" s="8" t="s">
        <v>49</v>
      </c>
      <c r="S124" s="10" t="s">
        <v>401</v>
      </c>
      <c r="T124" s="8" t="s">
        <v>60</v>
      </c>
      <c r="U124" s="8" t="s">
        <v>402</v>
      </c>
      <c r="V124" s="8" t="s">
        <v>402</v>
      </c>
      <c r="W124" s="8" t="s">
        <v>105</v>
      </c>
      <c r="X124" s="8" t="s">
        <v>75</v>
      </c>
      <c r="Y124" s="14">
        <v>45949</v>
      </c>
      <c r="Z124" s="14">
        <v>47312</v>
      </c>
      <c r="AA124" s="8"/>
      <c r="AB124" s="10" t="s">
        <v>401</v>
      </c>
      <c r="AC124" s="10" t="s">
        <v>91</v>
      </c>
      <c r="AD124" s="12">
        <f>Table1[[#This Row],[القيمة]]</f>
        <v>74981450</v>
      </c>
      <c r="AE124" s="8"/>
      <c r="AF124" s="8" t="s">
        <v>402</v>
      </c>
      <c r="AG124" s="8"/>
      <c r="AH124" s="8"/>
      <c r="AI124" s="8"/>
      <c r="AJ124" s="8">
        <v>4.25</v>
      </c>
      <c r="AK124" s="8">
        <v>7.71</v>
      </c>
      <c r="AL124" s="8">
        <v>-3.46</v>
      </c>
      <c r="AM124" s="8" t="s">
        <v>105</v>
      </c>
      <c r="AN124" s="8" t="s">
        <v>105</v>
      </c>
      <c r="AO124" s="8">
        <v>0</v>
      </c>
      <c r="AP124" s="8">
        <v>0</v>
      </c>
      <c r="AQ124" s="8"/>
      <c r="AR124" s="8"/>
      <c r="AS124" s="8">
        <v>-1.88</v>
      </c>
      <c r="AT124" s="54"/>
      <c r="AU124" s="54"/>
    </row>
    <row r="125" spans="1:47" ht="49.95" customHeight="1" x14ac:dyDescent="0.25">
      <c r="A125" s="8">
        <f>SUBTOTAL(3, $J$2:J125)</f>
        <v>119</v>
      </c>
      <c r="B125" s="8" t="s">
        <v>180</v>
      </c>
      <c r="C125" s="8" t="s">
        <v>47</v>
      </c>
      <c r="D125" s="8">
        <v>42.991236000000001</v>
      </c>
      <c r="E125" s="8">
        <v>16.72091</v>
      </c>
      <c r="F125" s="8">
        <v>114600</v>
      </c>
      <c r="G125" s="8">
        <v>2514.5</v>
      </c>
      <c r="H125" s="8" t="s">
        <v>403</v>
      </c>
      <c r="I125" s="8" t="s">
        <v>404</v>
      </c>
      <c r="J125" s="8">
        <v>121250300</v>
      </c>
      <c r="K125" s="8" t="s">
        <v>47</v>
      </c>
      <c r="L125" s="9">
        <f>1.15*Table1[[#This Row],[القيمة]]</f>
        <v>125348849.99999999</v>
      </c>
      <c r="M125" s="10" t="s">
        <v>405</v>
      </c>
      <c r="N125" s="11">
        <v>108999000</v>
      </c>
      <c r="O125" s="20" t="s">
        <v>406</v>
      </c>
      <c r="P125" s="11" t="s">
        <v>96</v>
      </c>
      <c r="Q125" s="11" t="s">
        <v>407</v>
      </c>
      <c r="R125" s="8" t="s">
        <v>49</v>
      </c>
      <c r="S125" s="10" t="s">
        <v>408</v>
      </c>
      <c r="T125" s="8" t="s">
        <v>60</v>
      </c>
      <c r="U125" s="17" t="s">
        <v>369</v>
      </c>
      <c r="V125" s="8" t="s">
        <v>369</v>
      </c>
      <c r="W125" s="8" t="s">
        <v>105</v>
      </c>
      <c r="X125" s="8" t="s">
        <v>75</v>
      </c>
      <c r="Y125" s="14">
        <v>45978</v>
      </c>
      <c r="Z125" s="14">
        <v>47235</v>
      </c>
      <c r="AA125" s="8"/>
      <c r="AB125" s="10" t="s">
        <v>116</v>
      </c>
      <c r="AC125" s="10" t="s">
        <v>90</v>
      </c>
      <c r="AD125" s="12">
        <f>Table1[[#This Row],[القيمة]]</f>
        <v>108999000</v>
      </c>
      <c r="AE125" s="8"/>
      <c r="AF125" s="17" t="s">
        <v>369</v>
      </c>
      <c r="AG125" s="8"/>
      <c r="AH125" s="8"/>
      <c r="AI125" s="8"/>
      <c r="AJ125" s="8">
        <v>1.71</v>
      </c>
      <c r="AK125" s="8">
        <v>2.1</v>
      </c>
      <c r="AL125" s="8">
        <v>-0.39</v>
      </c>
      <c r="AM125" s="8" t="s">
        <v>105</v>
      </c>
      <c r="AN125" s="8" t="s">
        <v>105</v>
      </c>
      <c r="AO125" s="8"/>
      <c r="AP125" s="8"/>
      <c r="AQ125" s="8"/>
      <c r="AR125" s="8">
        <v>0</v>
      </c>
      <c r="AS125" s="8">
        <v>-0.03</v>
      </c>
      <c r="AT125" s="54"/>
      <c r="AU125" s="54"/>
    </row>
    <row r="126" spans="1:47" ht="49.95" customHeight="1" x14ac:dyDescent="0.25">
      <c r="A126" s="8">
        <f>SUBTOTAL(3, $J$2:J126)</f>
        <v>120</v>
      </c>
      <c r="B126" s="8" t="s">
        <v>180</v>
      </c>
      <c r="C126" s="8" t="s">
        <v>47</v>
      </c>
      <c r="D126" s="8">
        <v>42.623720900000002</v>
      </c>
      <c r="E126" s="8">
        <v>17.212063000000001</v>
      </c>
      <c r="F126" s="8">
        <v>85810</v>
      </c>
      <c r="G126" s="8">
        <v>7550</v>
      </c>
      <c r="H126" s="8" t="s">
        <v>409</v>
      </c>
      <c r="I126" s="8" t="s">
        <v>410</v>
      </c>
      <c r="J126" s="8">
        <v>121250270</v>
      </c>
      <c r="K126" s="8" t="s">
        <v>47</v>
      </c>
      <c r="L126" s="9">
        <f>1.15*Table1[[#This Row],[القيمة]]</f>
        <v>66699999.999999993</v>
      </c>
      <c r="M126" s="10" t="s">
        <v>411</v>
      </c>
      <c r="N126" s="11">
        <v>58000000</v>
      </c>
      <c r="O126" s="20" t="s">
        <v>412</v>
      </c>
      <c r="P126" s="11" t="s">
        <v>111</v>
      </c>
      <c r="Q126" s="11" t="s">
        <v>395</v>
      </c>
      <c r="R126" s="8" t="s">
        <v>49</v>
      </c>
      <c r="S126" s="10" t="s">
        <v>413</v>
      </c>
      <c r="T126" s="8" t="s">
        <v>60</v>
      </c>
      <c r="U126" s="8" t="s">
        <v>388</v>
      </c>
      <c r="V126" s="8" t="s">
        <v>389</v>
      </c>
      <c r="W126" s="8" t="s">
        <v>105</v>
      </c>
      <c r="X126" s="8" t="s">
        <v>75</v>
      </c>
      <c r="Y126" s="14">
        <v>45916</v>
      </c>
      <c r="Z126" s="14">
        <v>47255</v>
      </c>
      <c r="AA126" s="8"/>
      <c r="AB126" s="10" t="s">
        <v>413</v>
      </c>
      <c r="AC126" s="10" t="s">
        <v>90</v>
      </c>
      <c r="AD126" s="12">
        <f>Table1[[#This Row],[القيمة]]</f>
        <v>58000000</v>
      </c>
      <c r="AE126" s="8"/>
      <c r="AF126" s="8" t="s">
        <v>388</v>
      </c>
      <c r="AG126" s="8"/>
      <c r="AH126" s="8"/>
      <c r="AI126" s="8" t="s">
        <v>114</v>
      </c>
      <c r="AJ126" s="8">
        <v>5.34</v>
      </c>
      <c r="AK126" s="8">
        <v>12.22</v>
      </c>
      <c r="AL126" s="8">
        <v>-6.88</v>
      </c>
      <c r="AM126" s="8" t="s">
        <v>105</v>
      </c>
      <c r="AN126" s="8" t="s">
        <v>105</v>
      </c>
      <c r="AO126" s="8">
        <v>0</v>
      </c>
      <c r="AP126" s="8">
        <v>1</v>
      </c>
      <c r="AQ126" s="8"/>
      <c r="AR126" s="8">
        <v>0</v>
      </c>
      <c r="AS126" s="8">
        <v>-0.44</v>
      </c>
      <c r="AT126" s="54"/>
      <c r="AU126" s="54"/>
    </row>
    <row r="127" spans="1:47" ht="49.95" customHeight="1" x14ac:dyDescent="0.25">
      <c r="A127" s="8">
        <f>SUBTOTAL(3, $J$2:J127)</f>
        <v>121</v>
      </c>
      <c r="B127" s="8" t="s">
        <v>19</v>
      </c>
      <c r="C127" s="8" t="s">
        <v>47</v>
      </c>
      <c r="D127" s="8">
        <v>42.610246500000002</v>
      </c>
      <c r="E127" s="8">
        <v>17.0314464</v>
      </c>
      <c r="F127" s="8">
        <v>0</v>
      </c>
      <c r="G127" s="8">
        <v>0</v>
      </c>
      <c r="H127" s="8" t="s">
        <v>414</v>
      </c>
      <c r="I127" s="8" t="s">
        <v>415</v>
      </c>
      <c r="J127" s="8">
        <v>121250223</v>
      </c>
      <c r="K127" s="8" t="s">
        <v>47</v>
      </c>
      <c r="L127" s="9">
        <f>1.15*Table1[[#This Row],[القيمة]]</f>
        <v>14258918.999999998</v>
      </c>
      <c r="M127" s="10" t="s">
        <v>416</v>
      </c>
      <c r="N127" s="11">
        <v>12399060</v>
      </c>
      <c r="O127" s="20" t="s">
        <v>417</v>
      </c>
      <c r="P127" s="11" t="s">
        <v>111</v>
      </c>
      <c r="Q127" s="11" t="s">
        <v>131</v>
      </c>
      <c r="R127" s="8" t="s">
        <v>49</v>
      </c>
      <c r="S127" s="10" t="s">
        <v>418</v>
      </c>
      <c r="T127" s="8" t="s">
        <v>133</v>
      </c>
      <c r="U127" s="17" t="s">
        <v>369</v>
      </c>
      <c r="V127" s="8" t="s">
        <v>369</v>
      </c>
      <c r="W127" s="8" t="s">
        <v>87</v>
      </c>
      <c r="X127" s="8" t="s">
        <v>75</v>
      </c>
      <c r="Y127" s="14">
        <v>45921</v>
      </c>
      <c r="Z127" s="14">
        <v>46956</v>
      </c>
      <c r="AA127" s="8"/>
      <c r="AB127" s="10" t="s">
        <v>419</v>
      </c>
      <c r="AC127" s="10" t="s">
        <v>90</v>
      </c>
      <c r="AD127" s="12">
        <f>Table1[[#This Row],[القيمة]]</f>
        <v>12399060</v>
      </c>
      <c r="AE127" s="8"/>
      <c r="AF127" s="17" t="s">
        <v>369</v>
      </c>
      <c r="AG127" s="8" t="s">
        <v>70</v>
      </c>
      <c r="AH127" s="8"/>
      <c r="AI127" s="8" t="s">
        <v>60</v>
      </c>
      <c r="AJ127" s="8">
        <v>2.4</v>
      </c>
      <c r="AK127" s="8">
        <v>1.17</v>
      </c>
      <c r="AL127" s="8">
        <v>1.23</v>
      </c>
      <c r="AM127" s="8" t="s">
        <v>87</v>
      </c>
      <c r="AN127" s="8" t="s">
        <v>87</v>
      </c>
      <c r="AO127" s="8">
        <v>3</v>
      </c>
      <c r="AP127" s="8">
        <v>0</v>
      </c>
      <c r="AQ127" s="8"/>
      <c r="AR127" s="8">
        <v>0</v>
      </c>
      <c r="AS127" s="8">
        <v>0.02</v>
      </c>
      <c r="AT127" s="54"/>
      <c r="AU127" s="54"/>
    </row>
    <row r="128" spans="1:47" ht="49.95" customHeight="1" x14ac:dyDescent="0.25">
      <c r="A128" s="8">
        <f>SUBTOTAL(3, $J$2:J128)</f>
        <v>122</v>
      </c>
      <c r="B128" s="8" t="s">
        <v>180</v>
      </c>
      <c r="C128" s="8" t="s">
        <v>55</v>
      </c>
      <c r="D128" s="8">
        <v>42.505307600000002</v>
      </c>
      <c r="E128" s="8">
        <v>17.374169899999998</v>
      </c>
      <c r="F128" s="8">
        <v>35000</v>
      </c>
      <c r="G128" s="8">
        <v>14942</v>
      </c>
      <c r="H128" s="8" t="s">
        <v>436</v>
      </c>
      <c r="I128" s="8" t="s">
        <v>437</v>
      </c>
      <c r="J128" s="8">
        <v>121250105</v>
      </c>
      <c r="K128" s="8" t="s">
        <v>47</v>
      </c>
      <c r="L128" s="9">
        <f>1.15*Table1[[#This Row],[القيمة]]</f>
        <v>42515960</v>
      </c>
      <c r="M128" s="10" t="s">
        <v>438</v>
      </c>
      <c r="N128" s="11">
        <v>36970400</v>
      </c>
      <c r="O128" s="20" t="s">
        <v>439</v>
      </c>
      <c r="P128" s="11" t="s">
        <v>440</v>
      </c>
      <c r="Q128" s="11" t="s">
        <v>441</v>
      </c>
      <c r="R128" s="8" t="s">
        <v>49</v>
      </c>
      <c r="S128" s="10" t="s">
        <v>442</v>
      </c>
      <c r="T128" s="8" t="s">
        <v>60</v>
      </c>
      <c r="U128" s="8" t="s">
        <v>388</v>
      </c>
      <c r="V128" s="8" t="s">
        <v>389</v>
      </c>
      <c r="W128" s="8" t="s">
        <v>105</v>
      </c>
      <c r="X128" s="8" t="s">
        <v>75</v>
      </c>
      <c r="Y128" s="14">
        <v>45845</v>
      </c>
      <c r="Z128" s="14">
        <v>46574</v>
      </c>
      <c r="AA128" s="8"/>
      <c r="AB128" s="10" t="s">
        <v>442</v>
      </c>
      <c r="AC128" s="10" t="s">
        <v>90</v>
      </c>
      <c r="AD128" s="12">
        <f>Table1[[#This Row],[القيمة]]</f>
        <v>36970400</v>
      </c>
      <c r="AE128" s="8"/>
      <c r="AF128" s="8" t="s">
        <v>388</v>
      </c>
      <c r="AG128" s="8"/>
      <c r="AH128" s="8"/>
      <c r="AI128" s="8"/>
      <c r="AJ128" s="8">
        <v>40.619999999999997</v>
      </c>
      <c r="AK128" s="8">
        <v>41.19</v>
      </c>
      <c r="AL128" s="8">
        <v>-0.56999999999999995</v>
      </c>
      <c r="AM128" s="8" t="s">
        <v>105</v>
      </c>
      <c r="AN128" s="8" t="s">
        <v>105</v>
      </c>
      <c r="AO128" s="8">
        <v>0</v>
      </c>
      <c r="AP128" s="8">
        <v>1</v>
      </c>
      <c r="AQ128" s="8"/>
      <c r="AR128" s="8">
        <v>0</v>
      </c>
      <c r="AS128" s="8">
        <v>-3.58</v>
      </c>
      <c r="AT128" s="54"/>
      <c r="AU128" s="54"/>
    </row>
    <row r="129" spans="1:47" ht="49.95" customHeight="1" x14ac:dyDescent="0.25">
      <c r="A129" s="8">
        <f>SUBTOTAL(3, $J$2:J129)</f>
        <v>123</v>
      </c>
      <c r="B129" s="8" t="s">
        <v>126</v>
      </c>
      <c r="C129" s="8" t="s">
        <v>47</v>
      </c>
      <c r="D129" s="8">
        <v>42.530807000000003</v>
      </c>
      <c r="E129" s="8">
        <v>17.452373999999999</v>
      </c>
      <c r="F129" s="8">
        <v>138500</v>
      </c>
      <c r="G129" s="8">
        <v>144882</v>
      </c>
      <c r="H129" s="8" t="s">
        <v>443</v>
      </c>
      <c r="I129" s="8" t="s">
        <v>444</v>
      </c>
      <c r="J129" s="8">
        <v>121250078</v>
      </c>
      <c r="K129" s="8" t="s">
        <v>47</v>
      </c>
      <c r="L129" s="9">
        <f>1.15*Table1[[#This Row],[القيمة]]</f>
        <v>113849999.99999999</v>
      </c>
      <c r="M129" s="10" t="s">
        <v>445</v>
      </c>
      <c r="N129" s="11">
        <v>99000000</v>
      </c>
      <c r="O129" s="20" t="s">
        <v>446</v>
      </c>
      <c r="P129" s="11" t="s">
        <v>96</v>
      </c>
      <c r="Q129" s="11" t="s">
        <v>441</v>
      </c>
      <c r="R129" s="8" t="s">
        <v>49</v>
      </c>
      <c r="S129" s="10" t="s">
        <v>338</v>
      </c>
      <c r="T129" s="8" t="s">
        <v>60</v>
      </c>
      <c r="U129" s="8" t="s">
        <v>51</v>
      </c>
      <c r="V129" s="8" t="s">
        <v>51</v>
      </c>
      <c r="W129" s="8" t="s">
        <v>105</v>
      </c>
      <c r="X129" s="8" t="s">
        <v>75</v>
      </c>
      <c r="Y129" s="14">
        <v>45775</v>
      </c>
      <c r="Z129" s="14">
        <v>47236</v>
      </c>
      <c r="AA129" s="8"/>
      <c r="AB129" s="10" t="s">
        <v>338</v>
      </c>
      <c r="AC129" s="10" t="s">
        <v>91</v>
      </c>
      <c r="AD129" s="12">
        <f>Table1[[#This Row],[القيمة]]</f>
        <v>99000000</v>
      </c>
      <c r="AE129" s="8"/>
      <c r="AF129" s="16" t="s">
        <v>51</v>
      </c>
      <c r="AG129" s="8"/>
      <c r="AH129" s="8"/>
      <c r="AI129" s="8" t="s">
        <v>298</v>
      </c>
      <c r="AJ129" s="8">
        <v>35.76</v>
      </c>
      <c r="AK129" s="8">
        <v>49.95</v>
      </c>
      <c r="AL129" s="8">
        <v>-14.19</v>
      </c>
      <c r="AM129" s="8" t="s">
        <v>105</v>
      </c>
      <c r="AN129" s="8" t="s">
        <v>105</v>
      </c>
      <c r="AO129" s="8">
        <v>0</v>
      </c>
      <c r="AP129" s="8">
        <v>0</v>
      </c>
      <c r="AQ129" s="8"/>
      <c r="AR129" s="8">
        <v>0</v>
      </c>
      <c r="AS129" s="8">
        <v>-6.04</v>
      </c>
      <c r="AT129" s="54"/>
      <c r="AU129" s="54"/>
    </row>
    <row r="130" spans="1:47" ht="49.95" customHeight="1" x14ac:dyDescent="0.25">
      <c r="A130" s="8">
        <f>SUBTOTAL(3, $J$2:J130)</f>
        <v>124</v>
      </c>
      <c r="B130" s="8" t="s">
        <v>91</v>
      </c>
      <c r="C130" s="8" t="s">
        <v>47</v>
      </c>
      <c r="D130" s="8">
        <v>42.791345999999997</v>
      </c>
      <c r="E130" s="8">
        <v>17.150524000000001</v>
      </c>
      <c r="F130" s="8">
        <v>48300</v>
      </c>
      <c r="G130" s="8">
        <v>23357</v>
      </c>
      <c r="H130" s="8" t="s">
        <v>447</v>
      </c>
      <c r="I130" s="8" t="s">
        <v>448</v>
      </c>
      <c r="J130" s="8">
        <v>121250049</v>
      </c>
      <c r="K130" s="8" t="s">
        <v>47</v>
      </c>
      <c r="L130" s="9">
        <f>1.15*Table1[[#This Row],[القيمة]]</f>
        <v>14727704.999999998</v>
      </c>
      <c r="M130" s="10" t="s">
        <v>449</v>
      </c>
      <c r="N130" s="11">
        <v>12806700</v>
      </c>
      <c r="O130" s="20" t="s">
        <v>450</v>
      </c>
      <c r="P130" s="11" t="s">
        <v>96</v>
      </c>
      <c r="Q130" s="11" t="s">
        <v>451</v>
      </c>
      <c r="R130" s="8" t="s">
        <v>49</v>
      </c>
      <c r="S130" s="10" t="s">
        <v>434</v>
      </c>
      <c r="T130" s="8" t="s">
        <v>60</v>
      </c>
      <c r="U130" s="8" t="s">
        <v>380</v>
      </c>
      <c r="V130" s="8" t="s">
        <v>380</v>
      </c>
      <c r="W130" s="8" t="s">
        <v>87</v>
      </c>
      <c r="X130" s="8" t="s">
        <v>75</v>
      </c>
      <c r="Y130" s="14">
        <v>45761</v>
      </c>
      <c r="Z130" s="14">
        <v>46855</v>
      </c>
      <c r="AA130" s="8"/>
      <c r="AB130" s="10" t="s">
        <v>435</v>
      </c>
      <c r="AC130" s="10" t="s">
        <v>91</v>
      </c>
      <c r="AD130" s="12">
        <f>Table1[[#This Row],[القيمة]]</f>
        <v>12806700</v>
      </c>
      <c r="AE130" s="8"/>
      <c r="AF130" s="8" t="s">
        <v>380</v>
      </c>
      <c r="AG130" s="8"/>
      <c r="AH130" s="8"/>
      <c r="AI130" s="8" t="s">
        <v>114</v>
      </c>
      <c r="AJ130" s="8">
        <v>43.16</v>
      </c>
      <c r="AK130" s="8">
        <v>42.15</v>
      </c>
      <c r="AL130" s="8">
        <v>1.01</v>
      </c>
      <c r="AM130" s="8" t="s">
        <v>105</v>
      </c>
      <c r="AN130" s="8" t="s">
        <v>105</v>
      </c>
      <c r="AO130" s="8">
        <v>0</v>
      </c>
      <c r="AP130" s="8">
        <v>0</v>
      </c>
      <c r="AQ130" s="8"/>
      <c r="AR130" s="8">
        <v>0</v>
      </c>
      <c r="AS130" s="8">
        <v>-1.1299999999999999</v>
      </c>
      <c r="AT130" s="54"/>
      <c r="AU130" s="54"/>
    </row>
    <row r="131" spans="1:47" ht="49.95" customHeight="1" x14ac:dyDescent="0.25">
      <c r="A131" s="8">
        <f>SUBTOTAL(3, $J$2:J131)</f>
        <v>125</v>
      </c>
      <c r="B131" s="8" t="s">
        <v>91</v>
      </c>
      <c r="C131" s="8" t="s">
        <v>47</v>
      </c>
      <c r="D131" s="8">
        <v>42.896259000000001</v>
      </c>
      <c r="E131" s="8">
        <v>17.248194999999999</v>
      </c>
      <c r="F131" s="8">
        <v>19700</v>
      </c>
      <c r="G131" s="8">
        <v>14831.41</v>
      </c>
      <c r="H131" s="8" t="s">
        <v>452</v>
      </c>
      <c r="I131" s="8" t="s">
        <v>453</v>
      </c>
      <c r="J131" s="8">
        <v>121250004</v>
      </c>
      <c r="K131" s="8" t="s">
        <v>47</v>
      </c>
      <c r="L131" s="9">
        <f>1.15*Table1[[#This Row],[القيمة]]</f>
        <v>6929635.4999999991</v>
      </c>
      <c r="M131" s="10" t="s">
        <v>454</v>
      </c>
      <c r="N131" s="11">
        <v>6025770</v>
      </c>
      <c r="O131" s="20" t="s">
        <v>455</v>
      </c>
      <c r="P131" s="11" t="s">
        <v>96</v>
      </c>
      <c r="Q131" s="11" t="s">
        <v>456</v>
      </c>
      <c r="R131" s="8" t="s">
        <v>49</v>
      </c>
      <c r="S131" s="10" t="s">
        <v>457</v>
      </c>
      <c r="T131" s="8" t="s">
        <v>60</v>
      </c>
      <c r="U131" s="8" t="s">
        <v>380</v>
      </c>
      <c r="V131" s="8" t="s">
        <v>380</v>
      </c>
      <c r="W131" s="8" t="s">
        <v>105</v>
      </c>
      <c r="X131" s="8" t="s">
        <v>75</v>
      </c>
      <c r="Y131" s="14">
        <v>45795</v>
      </c>
      <c r="Z131" s="14">
        <v>46672</v>
      </c>
      <c r="AA131" s="8"/>
      <c r="AB131" s="10" t="s">
        <v>457</v>
      </c>
      <c r="AC131" s="10" t="s">
        <v>91</v>
      </c>
      <c r="AD131" s="12">
        <f>Table1[[#This Row],[القيمة]]</f>
        <v>6025770</v>
      </c>
      <c r="AE131" s="8"/>
      <c r="AF131" s="8" t="s">
        <v>380</v>
      </c>
      <c r="AG131" s="8"/>
      <c r="AH131" s="8"/>
      <c r="AI131" s="8" t="s">
        <v>114</v>
      </c>
      <c r="AJ131" s="8">
        <v>38.58</v>
      </c>
      <c r="AK131" s="8">
        <v>41.47</v>
      </c>
      <c r="AL131" s="8">
        <v>-2.89</v>
      </c>
      <c r="AM131" s="8" t="s">
        <v>105</v>
      </c>
      <c r="AN131" s="8" t="s">
        <v>105</v>
      </c>
      <c r="AO131" s="8">
        <v>0</v>
      </c>
      <c r="AP131" s="8">
        <v>0</v>
      </c>
      <c r="AQ131" s="8"/>
      <c r="AR131" s="8">
        <v>0</v>
      </c>
      <c r="AS131" s="8">
        <v>-3.94</v>
      </c>
      <c r="AT131" s="54"/>
      <c r="AU131" s="54"/>
    </row>
    <row r="132" spans="1:47" ht="49.95" customHeight="1" x14ac:dyDescent="0.25">
      <c r="A132" s="8">
        <f>SUBTOTAL(3, $J$2:J132)</f>
        <v>126</v>
      </c>
      <c r="B132" s="8" t="s">
        <v>126</v>
      </c>
      <c r="C132" s="8" t="s">
        <v>47</v>
      </c>
      <c r="D132" s="8">
        <v>42.315607999999997</v>
      </c>
      <c r="E132" s="8">
        <v>17.696511999999998</v>
      </c>
      <c r="F132" s="8">
        <v>50408</v>
      </c>
      <c r="G132" s="8">
        <v>22100</v>
      </c>
      <c r="H132" s="8" t="s">
        <v>458</v>
      </c>
      <c r="I132" s="8" t="s">
        <v>459</v>
      </c>
      <c r="J132" s="8">
        <v>121250002</v>
      </c>
      <c r="K132" s="8" t="s">
        <v>47</v>
      </c>
      <c r="L132" s="9">
        <f>1.15*Table1[[#This Row],[القيمة]]</f>
        <v>18024996.5</v>
      </c>
      <c r="M132" s="10" t="s">
        <v>460</v>
      </c>
      <c r="N132" s="11">
        <v>15673910</v>
      </c>
      <c r="O132" s="20" t="s">
        <v>461</v>
      </c>
      <c r="P132" s="11" t="s">
        <v>96</v>
      </c>
      <c r="Q132" s="11" t="s">
        <v>433</v>
      </c>
      <c r="R132" s="8" t="s">
        <v>49</v>
      </c>
      <c r="S132" s="10" t="s">
        <v>306</v>
      </c>
      <c r="T132" s="8" t="s">
        <v>60</v>
      </c>
      <c r="U132" s="8" t="s">
        <v>51</v>
      </c>
      <c r="V132" s="8" t="s">
        <v>51</v>
      </c>
      <c r="W132" s="8" t="s">
        <v>105</v>
      </c>
      <c r="X132" s="8" t="s">
        <v>75</v>
      </c>
      <c r="Y132" s="14">
        <v>45796</v>
      </c>
      <c r="Z132" s="14">
        <v>46890</v>
      </c>
      <c r="AA132" s="8"/>
      <c r="AB132" s="10" t="s">
        <v>306</v>
      </c>
      <c r="AC132" s="10" t="s">
        <v>91</v>
      </c>
      <c r="AD132" s="12">
        <f>Table1[[#This Row],[القيمة]]</f>
        <v>15673910</v>
      </c>
      <c r="AE132" s="8"/>
      <c r="AF132" s="8" t="s">
        <v>51</v>
      </c>
      <c r="AG132" s="8"/>
      <c r="AH132" s="8"/>
      <c r="AI132" s="8" t="s">
        <v>298</v>
      </c>
      <c r="AJ132" s="8">
        <v>21.59</v>
      </c>
      <c r="AK132" s="8">
        <v>45.54</v>
      </c>
      <c r="AL132" s="8">
        <v>-23.95</v>
      </c>
      <c r="AM132" s="8" t="s">
        <v>105</v>
      </c>
      <c r="AN132" s="8" t="s">
        <v>105</v>
      </c>
      <c r="AO132" s="8">
        <v>0</v>
      </c>
      <c r="AP132" s="8">
        <v>0</v>
      </c>
      <c r="AQ132" s="8"/>
      <c r="AR132" s="8">
        <v>0</v>
      </c>
      <c r="AS132" s="8">
        <v>-6.59</v>
      </c>
      <c r="AT132" s="54"/>
      <c r="AU132" s="54" t="s">
        <v>47</v>
      </c>
    </row>
    <row r="133" spans="1:47" ht="49.95" customHeight="1" x14ac:dyDescent="0.25">
      <c r="A133" s="8">
        <f>SUBTOTAL(3, $J$2:J133)</f>
        <v>127</v>
      </c>
      <c r="B133" s="8" t="s">
        <v>91</v>
      </c>
      <c r="C133" s="8" t="s">
        <v>47</v>
      </c>
      <c r="D133" s="8">
        <v>42.616806799999999</v>
      </c>
      <c r="E133" s="8">
        <v>16.928673700000001</v>
      </c>
      <c r="F133" s="8">
        <v>4500</v>
      </c>
      <c r="G133" s="8">
        <v>4153</v>
      </c>
      <c r="H133" s="8" t="s">
        <v>462</v>
      </c>
      <c r="I133" s="8" t="s">
        <v>463</v>
      </c>
      <c r="J133" s="8">
        <v>121240376</v>
      </c>
      <c r="K133" s="8" t="s">
        <v>47</v>
      </c>
      <c r="L133" s="9">
        <f>1.15*Table1[[#This Row],[القيمة]]</f>
        <v>5749885</v>
      </c>
      <c r="M133" s="10" t="s">
        <v>464</v>
      </c>
      <c r="N133" s="11">
        <v>4999900</v>
      </c>
      <c r="O133" s="20" t="s">
        <v>465</v>
      </c>
      <c r="P133" s="11" t="s">
        <v>96</v>
      </c>
      <c r="Q133" s="11" t="s">
        <v>49</v>
      </c>
      <c r="R133" s="8" t="s">
        <v>49</v>
      </c>
      <c r="S133" s="10" t="s">
        <v>457</v>
      </c>
      <c r="T133" s="8" t="s">
        <v>60</v>
      </c>
      <c r="U133" s="8" t="s">
        <v>51</v>
      </c>
      <c r="V133" s="8" t="s">
        <v>51</v>
      </c>
      <c r="W133" s="8" t="s">
        <v>105</v>
      </c>
      <c r="X133" s="8" t="s">
        <v>75</v>
      </c>
      <c r="Y133" s="14">
        <v>45659</v>
      </c>
      <c r="Z133" s="14">
        <v>46754</v>
      </c>
      <c r="AA133" s="8"/>
      <c r="AB133" s="10" t="s">
        <v>457</v>
      </c>
      <c r="AC133" s="10" t="s">
        <v>91</v>
      </c>
      <c r="AD133" s="12">
        <f>Table1[[#This Row],[القيمة]]</f>
        <v>4999900</v>
      </c>
      <c r="AE133" s="8"/>
      <c r="AF133" s="8" t="s">
        <v>51</v>
      </c>
      <c r="AG133" s="8"/>
      <c r="AH133" s="8"/>
      <c r="AI133" s="8" t="s">
        <v>114</v>
      </c>
      <c r="AJ133" s="8">
        <v>48.33</v>
      </c>
      <c r="AK133" s="8">
        <v>72.7</v>
      </c>
      <c r="AL133" s="8">
        <v>-24.37</v>
      </c>
      <c r="AM133" s="8" t="s">
        <v>105</v>
      </c>
      <c r="AN133" s="8" t="s">
        <v>105</v>
      </c>
      <c r="AO133" s="8">
        <v>0</v>
      </c>
      <c r="AP133" s="8">
        <v>0</v>
      </c>
      <c r="AQ133" s="8"/>
      <c r="AR133" s="8">
        <v>0</v>
      </c>
      <c r="AS133" s="8">
        <v>-25.14</v>
      </c>
      <c r="AT133" s="54"/>
      <c r="AU133" s="54"/>
    </row>
    <row r="134" spans="1:47" ht="49.95" customHeight="1" x14ac:dyDescent="0.25">
      <c r="A134" s="8">
        <f>SUBTOTAL(3, $J$2:J134)</f>
        <v>128</v>
      </c>
      <c r="B134" s="8" t="s">
        <v>317</v>
      </c>
      <c r="C134" s="8" t="s">
        <v>55</v>
      </c>
      <c r="D134" s="8">
        <v>42.967835000000001</v>
      </c>
      <c r="E134" s="8">
        <v>16.625339</v>
      </c>
      <c r="F134" s="8">
        <v>292000</v>
      </c>
      <c r="G134" s="8">
        <v>22678</v>
      </c>
      <c r="H134" s="8" t="s">
        <v>470</v>
      </c>
      <c r="I134" s="8" t="s">
        <v>471</v>
      </c>
      <c r="J134" s="8">
        <v>121240336</v>
      </c>
      <c r="K134" s="8" t="s">
        <v>47</v>
      </c>
      <c r="L134" s="9">
        <f>1.15*Table1[[#This Row],[القيمة]]</f>
        <v>338652744.04999995</v>
      </c>
      <c r="M134" s="10" t="s">
        <v>472</v>
      </c>
      <c r="N134" s="11">
        <v>294480647</v>
      </c>
      <c r="O134" s="20" t="s">
        <v>473</v>
      </c>
      <c r="P134" s="11" t="s">
        <v>440</v>
      </c>
      <c r="Q134" s="11" t="s">
        <v>131</v>
      </c>
      <c r="R134" s="8" t="s">
        <v>49</v>
      </c>
      <c r="S134" s="10" t="s">
        <v>474</v>
      </c>
      <c r="T134" s="8" t="s">
        <v>60</v>
      </c>
      <c r="U134" s="8" t="s">
        <v>402</v>
      </c>
      <c r="V134" s="8" t="s">
        <v>402</v>
      </c>
      <c r="W134" s="8" t="s">
        <v>87</v>
      </c>
      <c r="X134" s="8" t="s">
        <v>75</v>
      </c>
      <c r="Y134" s="14">
        <v>45742</v>
      </c>
      <c r="Z134" s="14">
        <v>46842</v>
      </c>
      <c r="AA134" s="8"/>
      <c r="AB134" s="10" t="s">
        <v>474</v>
      </c>
      <c r="AC134" s="10" t="s">
        <v>90</v>
      </c>
      <c r="AD134" s="12">
        <f>Table1[[#This Row],[القيمة]]</f>
        <v>294480647</v>
      </c>
      <c r="AE134" s="8"/>
      <c r="AF134" s="8" t="s">
        <v>402</v>
      </c>
      <c r="AG134" s="8"/>
      <c r="AH134" s="8"/>
      <c r="AI134" s="8"/>
      <c r="AJ134" s="8">
        <v>11.76</v>
      </c>
      <c r="AK134" s="8">
        <v>8.43</v>
      </c>
      <c r="AL134" s="8">
        <v>3.33</v>
      </c>
      <c r="AM134" s="8" t="s">
        <v>175</v>
      </c>
      <c r="AN134" s="8" t="s">
        <v>175</v>
      </c>
      <c r="AO134" s="8">
        <v>0</v>
      </c>
      <c r="AP134" s="8">
        <v>2</v>
      </c>
      <c r="AQ134" s="8"/>
      <c r="AR134" s="8"/>
      <c r="AS134" s="8">
        <v>20.38</v>
      </c>
      <c r="AT134" s="54" t="s">
        <v>475</v>
      </c>
      <c r="AU134" s="54"/>
    </row>
    <row r="135" spans="1:47" ht="49.95" customHeight="1" x14ac:dyDescent="0.25">
      <c r="A135" s="8">
        <f>SUBTOTAL(3, $J$2:J135)</f>
        <v>129</v>
      </c>
      <c r="B135" s="8" t="s">
        <v>126</v>
      </c>
      <c r="C135" s="8" t="s">
        <v>55</v>
      </c>
      <c r="D135" s="8">
        <v>42.114317999999997</v>
      </c>
      <c r="E135" s="8">
        <v>16.705112</v>
      </c>
      <c r="F135" s="8">
        <v>63020</v>
      </c>
      <c r="G135" s="8">
        <v>5060</v>
      </c>
      <c r="H135" s="8" t="s">
        <v>476</v>
      </c>
      <c r="I135" s="8" t="s">
        <v>477</v>
      </c>
      <c r="J135" s="8">
        <v>121240334</v>
      </c>
      <c r="K135" s="8" t="s">
        <v>47</v>
      </c>
      <c r="L135" s="9">
        <f>1.15*Table1[[#This Row],[القيمة]]</f>
        <v>98699783.849999994</v>
      </c>
      <c r="M135" s="10" t="s">
        <v>478</v>
      </c>
      <c r="N135" s="11">
        <v>85825899</v>
      </c>
      <c r="O135" s="20" t="s">
        <v>479</v>
      </c>
      <c r="P135" s="11" t="s">
        <v>440</v>
      </c>
      <c r="Q135" s="11" t="s">
        <v>480</v>
      </c>
      <c r="R135" s="8" t="s">
        <v>49</v>
      </c>
      <c r="S135" s="10" t="s">
        <v>98</v>
      </c>
      <c r="T135" s="8" t="s">
        <v>60</v>
      </c>
      <c r="U135" s="17" t="s">
        <v>369</v>
      </c>
      <c r="V135" s="8" t="s">
        <v>369</v>
      </c>
      <c r="W135" s="8" t="s">
        <v>87</v>
      </c>
      <c r="X135" s="8" t="s">
        <v>75</v>
      </c>
      <c r="Y135" s="14">
        <v>45658</v>
      </c>
      <c r="Z135" s="14">
        <v>46761</v>
      </c>
      <c r="AA135" s="8"/>
      <c r="AB135" s="10" t="s">
        <v>59</v>
      </c>
      <c r="AC135" s="10" t="s">
        <v>90</v>
      </c>
      <c r="AD135" s="12">
        <f>Table1[[#This Row],[القيمة]]</f>
        <v>85825899</v>
      </c>
      <c r="AE135" s="8"/>
      <c r="AF135" s="17" t="s">
        <v>369</v>
      </c>
      <c r="AG135" s="8"/>
      <c r="AH135" s="8"/>
      <c r="AI135" s="8" t="s">
        <v>298</v>
      </c>
      <c r="AJ135" s="8">
        <v>8.52</v>
      </c>
      <c r="AK135" s="8">
        <v>6.85</v>
      </c>
      <c r="AL135" s="8">
        <v>1.67</v>
      </c>
      <c r="AM135" s="8" t="s">
        <v>175</v>
      </c>
      <c r="AN135" s="8" t="s">
        <v>175</v>
      </c>
      <c r="AO135" s="8">
        <v>0</v>
      </c>
      <c r="AP135" s="8">
        <v>4</v>
      </c>
      <c r="AQ135" s="8"/>
      <c r="AR135" s="8">
        <v>0</v>
      </c>
      <c r="AS135" s="8">
        <v>24.14</v>
      </c>
      <c r="AT135" s="8" t="s">
        <v>475</v>
      </c>
      <c r="AU135" s="54"/>
    </row>
    <row r="136" spans="1:47" ht="49.95" customHeight="1" x14ac:dyDescent="0.25">
      <c r="A136" s="8">
        <f>SUBTOTAL(3, $J$2:J136)</f>
        <v>130</v>
      </c>
      <c r="B136" s="8" t="s">
        <v>180</v>
      </c>
      <c r="C136" s="8" t="s">
        <v>47</v>
      </c>
      <c r="D136" s="8">
        <v>42.568607999999998</v>
      </c>
      <c r="E136" s="8">
        <v>16.891781000000002</v>
      </c>
      <c r="F136" s="8">
        <v>31000</v>
      </c>
      <c r="G136" s="8">
        <v>37318</v>
      </c>
      <c r="H136" s="8" t="s">
        <v>481</v>
      </c>
      <c r="I136" s="8" t="s">
        <v>482</v>
      </c>
      <c r="J136" s="8">
        <v>121240315</v>
      </c>
      <c r="K136" s="8" t="s">
        <v>47</v>
      </c>
      <c r="L136" s="9">
        <f>1.15*Table1[[#This Row],[القيمة]]</f>
        <v>16048479.999999998</v>
      </c>
      <c r="M136" s="10" t="s">
        <v>483</v>
      </c>
      <c r="N136" s="11">
        <v>13955200</v>
      </c>
      <c r="O136" s="20" t="s">
        <v>484</v>
      </c>
      <c r="P136" s="11" t="s">
        <v>96</v>
      </c>
      <c r="Q136" s="11" t="s">
        <v>131</v>
      </c>
      <c r="R136" s="8" t="s">
        <v>49</v>
      </c>
      <c r="S136" s="10" t="s">
        <v>485</v>
      </c>
      <c r="T136" s="8" t="s">
        <v>60</v>
      </c>
      <c r="U136" s="17" t="s">
        <v>369</v>
      </c>
      <c r="V136" s="8" t="s">
        <v>369</v>
      </c>
      <c r="W136" s="8" t="s">
        <v>105</v>
      </c>
      <c r="X136" s="8" t="s">
        <v>75</v>
      </c>
      <c r="Y136" s="14">
        <v>45648</v>
      </c>
      <c r="Z136" s="14">
        <v>46795</v>
      </c>
      <c r="AA136" s="8"/>
      <c r="AB136" s="10" t="s">
        <v>485</v>
      </c>
      <c r="AC136" s="10" t="s">
        <v>90</v>
      </c>
      <c r="AD136" s="12">
        <f>Table1[[#This Row],[القيمة]]</f>
        <v>13955200</v>
      </c>
      <c r="AE136" s="8"/>
      <c r="AF136" s="17" t="s">
        <v>369</v>
      </c>
      <c r="AG136" s="8"/>
      <c r="AH136" s="8"/>
      <c r="AI136" s="8" t="s">
        <v>114</v>
      </c>
      <c r="AJ136" s="8">
        <v>52.4</v>
      </c>
      <c r="AK136" s="8">
        <v>54.17</v>
      </c>
      <c r="AL136" s="8">
        <v>-1.77</v>
      </c>
      <c r="AM136" s="8" t="s">
        <v>105</v>
      </c>
      <c r="AN136" s="8" t="s">
        <v>105</v>
      </c>
      <c r="AO136" s="8">
        <v>0</v>
      </c>
      <c r="AP136" s="8">
        <v>0</v>
      </c>
      <c r="AQ136" s="8"/>
      <c r="AR136" s="8">
        <v>0</v>
      </c>
      <c r="AS136" s="8">
        <v>-2.76</v>
      </c>
      <c r="AT136" s="54"/>
      <c r="AU136" s="54"/>
    </row>
    <row r="137" spans="1:47" ht="49.95" customHeight="1" x14ac:dyDescent="0.25">
      <c r="A137" s="8">
        <f>SUBTOTAL(3, $J$2:J137)</f>
        <v>131</v>
      </c>
      <c r="B137" s="8" t="s">
        <v>317</v>
      </c>
      <c r="C137" s="8" t="s">
        <v>55</v>
      </c>
      <c r="D137" s="8">
        <v>42.742125000000001</v>
      </c>
      <c r="E137" s="8">
        <v>16.768053999999999</v>
      </c>
      <c r="F137" s="8">
        <v>179000</v>
      </c>
      <c r="G137" s="8">
        <v>35180</v>
      </c>
      <c r="H137" s="8" t="s">
        <v>486</v>
      </c>
      <c r="I137" s="8" t="s">
        <v>487</v>
      </c>
      <c r="J137" s="8">
        <v>121240313</v>
      </c>
      <c r="K137" s="8" t="s">
        <v>47</v>
      </c>
      <c r="L137" s="9">
        <f>1.15*Table1[[#This Row],[القيمة]]</f>
        <v>232812324.99999997</v>
      </c>
      <c r="M137" s="10" t="s">
        <v>488</v>
      </c>
      <c r="N137" s="11">
        <v>202445500</v>
      </c>
      <c r="O137" s="20" t="s">
        <v>489</v>
      </c>
      <c r="P137" s="11" t="s">
        <v>440</v>
      </c>
      <c r="Q137" s="11" t="s">
        <v>407</v>
      </c>
      <c r="R137" s="8" t="s">
        <v>49</v>
      </c>
      <c r="S137" s="10" t="s">
        <v>490</v>
      </c>
      <c r="T137" s="8" t="s">
        <v>60</v>
      </c>
      <c r="U137" s="8" t="s">
        <v>402</v>
      </c>
      <c r="V137" s="8" t="s">
        <v>402</v>
      </c>
      <c r="W137" s="8" t="s">
        <v>105</v>
      </c>
      <c r="X137" s="8" t="s">
        <v>75</v>
      </c>
      <c r="Y137" s="14">
        <v>45623</v>
      </c>
      <c r="Z137" s="14">
        <v>46748</v>
      </c>
      <c r="AA137" s="8"/>
      <c r="AB137" s="10" t="s">
        <v>491</v>
      </c>
      <c r="AC137" s="10" t="s">
        <v>90</v>
      </c>
      <c r="AD137" s="12">
        <f>Table1[[#This Row],[القيمة]]</f>
        <v>202445500</v>
      </c>
      <c r="AE137" s="8"/>
      <c r="AF137" s="97" t="s">
        <v>402</v>
      </c>
      <c r="AG137" s="8"/>
      <c r="AH137" s="8"/>
      <c r="AI137" s="8" t="s">
        <v>114</v>
      </c>
      <c r="AJ137" s="8">
        <v>19.07</v>
      </c>
      <c r="AK137" s="8">
        <v>19.100000000000001</v>
      </c>
      <c r="AL137" s="8">
        <v>-0.03</v>
      </c>
      <c r="AM137" s="8" t="s">
        <v>105</v>
      </c>
      <c r="AN137" s="8" t="s">
        <v>105</v>
      </c>
      <c r="AO137" s="8">
        <v>0</v>
      </c>
      <c r="AP137" s="8">
        <v>2</v>
      </c>
      <c r="AQ137" s="8"/>
      <c r="AR137" s="8">
        <v>0</v>
      </c>
      <c r="AS137" s="8">
        <v>-0.08</v>
      </c>
      <c r="AT137" s="54" t="s">
        <v>475</v>
      </c>
      <c r="AU137" s="54"/>
    </row>
    <row r="138" spans="1:47" ht="49.95" customHeight="1" x14ac:dyDescent="0.25">
      <c r="A138" s="8">
        <f>SUBTOTAL(3, $J$2:J138)</f>
        <v>132</v>
      </c>
      <c r="B138" s="8" t="s">
        <v>126</v>
      </c>
      <c r="C138" s="8" t="s">
        <v>47</v>
      </c>
      <c r="D138" s="8">
        <v>42.568607999999998</v>
      </c>
      <c r="E138" s="8">
        <v>16.891781000000002</v>
      </c>
      <c r="F138" s="8">
        <v>221670</v>
      </c>
      <c r="G138" s="8">
        <v>43551</v>
      </c>
      <c r="H138" s="8" t="s">
        <v>492</v>
      </c>
      <c r="I138" s="8" t="s">
        <v>493</v>
      </c>
      <c r="J138" s="8">
        <v>121240312</v>
      </c>
      <c r="K138" s="8" t="s">
        <v>47</v>
      </c>
      <c r="L138" s="9">
        <f>1.15*Table1[[#This Row],[القيمة]]</f>
        <v>41425070</v>
      </c>
      <c r="M138" s="10" t="s">
        <v>494</v>
      </c>
      <c r="N138" s="11">
        <v>36021800</v>
      </c>
      <c r="O138" s="20" t="s">
        <v>495</v>
      </c>
      <c r="P138" s="11" t="s">
        <v>496</v>
      </c>
      <c r="Q138" s="11" t="s">
        <v>49</v>
      </c>
      <c r="R138" s="8" t="s">
        <v>49</v>
      </c>
      <c r="S138" s="10" t="s">
        <v>497</v>
      </c>
      <c r="T138" s="8" t="s">
        <v>60</v>
      </c>
      <c r="U138" s="8" t="s">
        <v>358</v>
      </c>
      <c r="V138" s="8" t="s">
        <v>372</v>
      </c>
      <c r="W138" s="8" t="s">
        <v>87</v>
      </c>
      <c r="X138" s="8" t="s">
        <v>75</v>
      </c>
      <c r="Y138" s="14">
        <v>45648</v>
      </c>
      <c r="Z138" s="14">
        <v>46746</v>
      </c>
      <c r="AA138" s="8"/>
      <c r="AB138" s="10" t="s">
        <v>498</v>
      </c>
      <c r="AC138" s="10" t="s">
        <v>91</v>
      </c>
      <c r="AD138" s="12">
        <f>Table1[[#This Row],[القيمة]]</f>
        <v>36021800</v>
      </c>
      <c r="AE138" s="8"/>
      <c r="AF138" s="8" t="s">
        <v>358</v>
      </c>
      <c r="AG138" s="8"/>
      <c r="AH138" s="8"/>
      <c r="AI138" s="8" t="s">
        <v>298</v>
      </c>
      <c r="AJ138" s="8">
        <v>18.34</v>
      </c>
      <c r="AK138" s="8">
        <v>13.45</v>
      </c>
      <c r="AL138" s="8">
        <v>4.8899999999999997</v>
      </c>
      <c r="AM138" s="8" t="s">
        <v>87</v>
      </c>
      <c r="AN138" s="8" t="s">
        <v>87</v>
      </c>
      <c r="AO138" s="8">
        <v>0</v>
      </c>
      <c r="AP138" s="8">
        <v>0</v>
      </c>
      <c r="AQ138" s="8"/>
      <c r="AR138" s="8">
        <v>17</v>
      </c>
      <c r="AS138" s="8">
        <v>1.1000000000000001</v>
      </c>
      <c r="AT138" s="54"/>
      <c r="AU138" s="54" t="s">
        <v>47</v>
      </c>
    </row>
    <row r="139" spans="1:47" ht="49.95" customHeight="1" x14ac:dyDescent="0.25">
      <c r="A139" s="8">
        <f>SUBTOTAL(3, $J$2:J139)</f>
        <v>133</v>
      </c>
      <c r="B139" s="8" t="s">
        <v>19</v>
      </c>
      <c r="C139" s="8" t="s">
        <v>47</v>
      </c>
      <c r="D139" s="8">
        <v>44.463867200000003</v>
      </c>
      <c r="E139" s="8">
        <v>17.538966800000001</v>
      </c>
      <c r="F139" s="8">
        <v>0</v>
      </c>
      <c r="G139" s="8">
        <v>0</v>
      </c>
      <c r="H139" s="8" t="s">
        <v>507</v>
      </c>
      <c r="I139" s="8" t="s">
        <v>508</v>
      </c>
      <c r="J139" s="41">
        <v>121240281</v>
      </c>
      <c r="K139" s="8" t="s">
        <v>47</v>
      </c>
      <c r="L139" s="9">
        <f>1.15*Table1[[#This Row],[القيمة]]</f>
        <v>33276365.499999996</v>
      </c>
      <c r="M139" s="42" t="s">
        <v>509</v>
      </c>
      <c r="N139" s="43">
        <v>28935970</v>
      </c>
      <c r="O139" s="44" t="s">
        <v>510</v>
      </c>
      <c r="P139" s="11" t="s">
        <v>96</v>
      </c>
      <c r="Q139" s="11" t="s">
        <v>131</v>
      </c>
      <c r="R139" s="8" t="s">
        <v>63</v>
      </c>
      <c r="S139" s="42" t="s">
        <v>500</v>
      </c>
      <c r="T139" s="8" t="s">
        <v>133</v>
      </c>
      <c r="U139" s="8" t="s">
        <v>511</v>
      </c>
      <c r="V139" s="41" t="s">
        <v>512</v>
      </c>
      <c r="W139" s="8" t="s">
        <v>105</v>
      </c>
      <c r="X139" s="8" t="s">
        <v>75</v>
      </c>
      <c r="Y139" s="14">
        <v>45651</v>
      </c>
      <c r="Z139" s="14">
        <v>46746</v>
      </c>
      <c r="AA139" s="8"/>
      <c r="AB139" s="10" t="s">
        <v>500</v>
      </c>
      <c r="AC139" s="10" t="s">
        <v>148</v>
      </c>
      <c r="AD139" s="12">
        <f>Table1[[#This Row],[القيمة]]</f>
        <v>28935970</v>
      </c>
      <c r="AE139" s="41" t="s">
        <v>511</v>
      </c>
      <c r="AF139" s="8" t="s">
        <v>358</v>
      </c>
      <c r="AG139" s="8" t="s">
        <v>79</v>
      </c>
      <c r="AH139" s="13" t="s">
        <v>296</v>
      </c>
      <c r="AI139" s="15" t="s">
        <v>114</v>
      </c>
      <c r="AJ139" s="8">
        <v>33.630000000000003</v>
      </c>
      <c r="AK139" s="8">
        <v>40.64</v>
      </c>
      <c r="AL139" s="8">
        <v>-7.01</v>
      </c>
      <c r="AM139" s="15" t="s">
        <v>105</v>
      </c>
      <c r="AN139" s="15" t="s">
        <v>105</v>
      </c>
      <c r="AO139" s="8">
        <v>0</v>
      </c>
      <c r="AP139" s="8">
        <v>0</v>
      </c>
      <c r="AQ139" s="8"/>
      <c r="AR139" s="8" t="s">
        <v>230</v>
      </c>
      <c r="AS139" s="8">
        <v>-3.44</v>
      </c>
      <c r="AT139" s="54"/>
      <c r="AU139" s="54"/>
    </row>
    <row r="140" spans="1:47" ht="49.95" customHeight="1" x14ac:dyDescent="0.25">
      <c r="A140" s="8">
        <f>SUBTOTAL(3, $J$2:J140)</f>
        <v>134</v>
      </c>
      <c r="B140" s="8" t="s">
        <v>91</v>
      </c>
      <c r="C140" s="8" t="s">
        <v>47</v>
      </c>
      <c r="D140" s="8">
        <v>42.596136999999999</v>
      </c>
      <c r="E140" s="8">
        <v>17.053303</v>
      </c>
      <c r="F140" s="8">
        <v>81900</v>
      </c>
      <c r="G140" s="8">
        <v>51470</v>
      </c>
      <c r="H140" s="8" t="s">
        <v>513</v>
      </c>
      <c r="I140" s="8" t="s">
        <v>514</v>
      </c>
      <c r="J140" s="8">
        <v>121240270</v>
      </c>
      <c r="K140" s="8" t="s">
        <v>47</v>
      </c>
      <c r="L140" s="9">
        <f>1.15*Table1[[#This Row],[القيمة]]</f>
        <v>62500475.999999993</v>
      </c>
      <c r="M140" s="10" t="s">
        <v>515</v>
      </c>
      <c r="N140" s="11">
        <v>54348240</v>
      </c>
      <c r="O140" s="20" t="s">
        <v>516</v>
      </c>
      <c r="P140" s="11" t="s">
        <v>96</v>
      </c>
      <c r="Q140" s="11" t="s">
        <v>49</v>
      </c>
      <c r="R140" s="8" t="s">
        <v>49</v>
      </c>
      <c r="S140" s="10" t="s">
        <v>497</v>
      </c>
      <c r="T140" s="8" t="s">
        <v>60</v>
      </c>
      <c r="U140" s="8" t="s">
        <v>358</v>
      </c>
      <c r="V140" s="8" t="s">
        <v>372</v>
      </c>
      <c r="W140" s="8" t="s">
        <v>105</v>
      </c>
      <c r="X140" s="8" t="s">
        <v>75</v>
      </c>
      <c r="Y140" s="14">
        <v>45613</v>
      </c>
      <c r="Z140" s="14">
        <v>47090</v>
      </c>
      <c r="AA140" s="8"/>
      <c r="AB140" s="10" t="s">
        <v>498</v>
      </c>
      <c r="AC140" s="10" t="s">
        <v>91</v>
      </c>
      <c r="AD140" s="12">
        <f>Table1[[#This Row],[القيمة]]</f>
        <v>54348240</v>
      </c>
      <c r="AE140" s="8"/>
      <c r="AF140" s="8" t="s">
        <v>358</v>
      </c>
      <c r="AG140" s="8"/>
      <c r="AH140" s="8"/>
      <c r="AI140" s="8" t="s">
        <v>114</v>
      </c>
      <c r="AJ140" s="8">
        <v>16.45</v>
      </c>
      <c r="AK140" s="8">
        <v>19.989999999999998</v>
      </c>
      <c r="AL140" s="8">
        <v>-3.54</v>
      </c>
      <c r="AM140" s="8" t="s">
        <v>105</v>
      </c>
      <c r="AN140" s="8" t="s">
        <v>105</v>
      </c>
      <c r="AO140" s="8">
        <v>0</v>
      </c>
      <c r="AP140" s="8">
        <v>2</v>
      </c>
      <c r="AQ140" s="8"/>
      <c r="AR140" s="8">
        <v>0</v>
      </c>
      <c r="AS140" s="8">
        <v>-0.81</v>
      </c>
      <c r="AT140" s="54"/>
      <c r="AU140" s="54"/>
    </row>
    <row r="141" spans="1:47" ht="49.95" customHeight="1" x14ac:dyDescent="0.25">
      <c r="A141" s="8">
        <f>SUBTOTAL(3, $J$2:J141)</f>
        <v>135</v>
      </c>
      <c r="B141" s="8" t="s">
        <v>180</v>
      </c>
      <c r="C141" s="8" t="s">
        <v>47</v>
      </c>
      <c r="D141" s="8">
        <v>42.568607999999998</v>
      </c>
      <c r="E141" s="8">
        <v>16.891781000000002</v>
      </c>
      <c r="F141" s="8">
        <v>31000</v>
      </c>
      <c r="G141" s="8">
        <v>8508</v>
      </c>
      <c r="H141" s="8" t="s">
        <v>517</v>
      </c>
      <c r="I141" s="8" t="s">
        <v>518</v>
      </c>
      <c r="J141" s="8">
        <v>121240266</v>
      </c>
      <c r="K141" s="8" t="s">
        <v>47</v>
      </c>
      <c r="L141" s="9">
        <f>1.15*Table1[[#This Row],[القيمة]]</f>
        <v>13910514.999999998</v>
      </c>
      <c r="M141" s="10" t="s">
        <v>519</v>
      </c>
      <c r="N141" s="11">
        <v>12096100</v>
      </c>
      <c r="O141" s="20" t="s">
        <v>520</v>
      </c>
      <c r="P141" s="11" t="s">
        <v>96</v>
      </c>
      <c r="Q141" s="11" t="s">
        <v>131</v>
      </c>
      <c r="R141" s="8" t="s">
        <v>49</v>
      </c>
      <c r="S141" s="10" t="s">
        <v>201</v>
      </c>
      <c r="T141" s="8" t="s">
        <v>60</v>
      </c>
      <c r="U141" s="17" t="s">
        <v>369</v>
      </c>
      <c r="V141" s="8" t="s">
        <v>369</v>
      </c>
      <c r="W141" s="8" t="s">
        <v>105</v>
      </c>
      <c r="X141" s="8" t="s">
        <v>75</v>
      </c>
      <c r="Y141" s="14">
        <v>45636</v>
      </c>
      <c r="Z141" s="14">
        <v>46774</v>
      </c>
      <c r="AA141" s="8"/>
      <c r="AB141" s="10" t="s">
        <v>202</v>
      </c>
      <c r="AC141" s="10" t="s">
        <v>91</v>
      </c>
      <c r="AD141" s="12">
        <f>Table1[[#This Row],[القيمة]]</f>
        <v>12096100</v>
      </c>
      <c r="AE141" s="8"/>
      <c r="AF141" s="76" t="s">
        <v>369</v>
      </c>
      <c r="AG141" s="8"/>
      <c r="AH141" s="8"/>
      <c r="AI141" s="8" t="s">
        <v>114</v>
      </c>
      <c r="AJ141" s="8">
        <v>68.95</v>
      </c>
      <c r="AK141" s="8">
        <v>81.430000000000007</v>
      </c>
      <c r="AL141" s="8">
        <v>-12.48</v>
      </c>
      <c r="AM141" s="8" t="s">
        <v>105</v>
      </c>
      <c r="AN141" s="8" t="s">
        <v>105</v>
      </c>
      <c r="AO141" s="8">
        <v>0</v>
      </c>
      <c r="AP141" s="8">
        <v>0</v>
      </c>
      <c r="AQ141" s="8"/>
      <c r="AR141" s="8">
        <v>0</v>
      </c>
      <c r="AS141" s="8">
        <v>-4.95</v>
      </c>
      <c r="AT141" s="54"/>
      <c r="AU141" s="54"/>
    </row>
    <row r="142" spans="1:47" ht="49.95" customHeight="1" x14ac:dyDescent="0.25">
      <c r="A142" s="8">
        <f>SUBTOTAL(3, $J$2:J142)</f>
        <v>136</v>
      </c>
      <c r="B142" s="8" t="s">
        <v>91</v>
      </c>
      <c r="C142" s="8" t="s">
        <v>47</v>
      </c>
      <c r="D142" s="8">
        <v>42.568607999999998</v>
      </c>
      <c r="E142" s="8">
        <v>16.891781000000002</v>
      </c>
      <c r="F142" s="8">
        <v>0</v>
      </c>
      <c r="G142" s="8">
        <v>0</v>
      </c>
      <c r="H142" s="8" t="s">
        <v>524</v>
      </c>
      <c r="I142" s="8" t="s">
        <v>525</v>
      </c>
      <c r="J142" s="8">
        <v>121240228</v>
      </c>
      <c r="K142" s="8" t="s">
        <v>47</v>
      </c>
      <c r="L142" s="9">
        <f>1.15*Table1[[#This Row],[القيمة]]</f>
        <v>18108659</v>
      </c>
      <c r="M142" s="10" t="s">
        <v>526</v>
      </c>
      <c r="N142" s="11">
        <v>15746660</v>
      </c>
      <c r="O142" s="20" t="s">
        <v>527</v>
      </c>
      <c r="P142" s="11" t="s">
        <v>96</v>
      </c>
      <c r="Q142" s="11" t="s">
        <v>49</v>
      </c>
      <c r="R142" s="8" t="s">
        <v>49</v>
      </c>
      <c r="S142" s="10" t="s">
        <v>434</v>
      </c>
      <c r="T142" s="8" t="s">
        <v>60</v>
      </c>
      <c r="U142" s="8" t="s">
        <v>358</v>
      </c>
      <c r="V142" s="8" t="s">
        <v>372</v>
      </c>
      <c r="W142" s="8" t="s">
        <v>105</v>
      </c>
      <c r="X142" s="8" t="s">
        <v>75</v>
      </c>
      <c r="Y142" s="14">
        <v>45578</v>
      </c>
      <c r="Z142" s="14">
        <v>46723</v>
      </c>
      <c r="AA142" s="8"/>
      <c r="AB142" s="10" t="s">
        <v>435</v>
      </c>
      <c r="AC142" s="10" t="s">
        <v>148</v>
      </c>
      <c r="AD142" s="12">
        <f>Table1[[#This Row],[القيمة]]</f>
        <v>15746660</v>
      </c>
      <c r="AE142" s="8"/>
      <c r="AF142" s="16" t="s">
        <v>358</v>
      </c>
      <c r="AG142" s="8"/>
      <c r="AH142" s="8"/>
      <c r="AI142" s="8"/>
      <c r="AJ142" s="8">
        <v>48.14</v>
      </c>
      <c r="AK142" s="8">
        <v>57.96</v>
      </c>
      <c r="AL142" s="8">
        <v>-9.82</v>
      </c>
      <c r="AM142" s="8" t="s">
        <v>105</v>
      </c>
      <c r="AN142" s="8" t="s">
        <v>105</v>
      </c>
      <c r="AO142" s="8">
        <v>2</v>
      </c>
      <c r="AP142" s="8">
        <v>8</v>
      </c>
      <c r="AQ142" s="8"/>
      <c r="AR142" s="8">
        <v>0</v>
      </c>
      <c r="AS142" s="8">
        <v>-7.65</v>
      </c>
      <c r="AT142" s="54"/>
      <c r="AU142" s="54"/>
    </row>
    <row r="143" spans="1:47" ht="49.95" customHeight="1" x14ac:dyDescent="0.25">
      <c r="A143" s="8">
        <f>SUBTOTAL(3, $J$2:J143)</f>
        <v>137</v>
      </c>
      <c r="B143" s="8" t="s">
        <v>126</v>
      </c>
      <c r="C143" s="8" t="s">
        <v>47</v>
      </c>
      <c r="D143" s="8">
        <v>42.627046</v>
      </c>
      <c r="E143" s="8">
        <v>17.297568999999999</v>
      </c>
      <c r="F143" s="8">
        <v>34700</v>
      </c>
      <c r="G143" s="8">
        <v>37317</v>
      </c>
      <c r="H143" s="8" t="s">
        <v>528</v>
      </c>
      <c r="I143" s="8" t="s">
        <v>529</v>
      </c>
      <c r="J143" s="8">
        <v>121240214</v>
      </c>
      <c r="K143" s="27" t="s">
        <v>47</v>
      </c>
      <c r="L143" s="9">
        <f>1.15*Table1[[#This Row],[القيمة]]</f>
        <v>12634704.999999998</v>
      </c>
      <c r="M143" s="10" t="s">
        <v>530</v>
      </c>
      <c r="N143" s="11">
        <v>10986700</v>
      </c>
      <c r="O143" s="20" t="s">
        <v>531</v>
      </c>
      <c r="P143" s="11" t="s">
        <v>96</v>
      </c>
      <c r="Q143" s="11" t="s">
        <v>395</v>
      </c>
      <c r="R143" s="8" t="s">
        <v>49</v>
      </c>
      <c r="S143" s="10" t="s">
        <v>434</v>
      </c>
      <c r="T143" s="8" t="s">
        <v>60</v>
      </c>
      <c r="U143" s="8" t="s">
        <v>358</v>
      </c>
      <c r="V143" s="8" t="s">
        <v>372</v>
      </c>
      <c r="W143" s="8" t="s">
        <v>105</v>
      </c>
      <c r="X143" s="8" t="s">
        <v>75</v>
      </c>
      <c r="Y143" s="14">
        <v>45536</v>
      </c>
      <c r="Z143" s="14">
        <v>46626</v>
      </c>
      <c r="AA143" s="8"/>
      <c r="AB143" s="10" t="s">
        <v>435</v>
      </c>
      <c r="AC143" s="10" t="s">
        <v>91</v>
      </c>
      <c r="AD143" s="12">
        <f>Table1[[#This Row],[القيمة]]</f>
        <v>10986700</v>
      </c>
      <c r="AE143" s="8"/>
      <c r="AF143" s="8" t="s">
        <v>358</v>
      </c>
      <c r="AG143" s="8"/>
      <c r="AH143" s="8"/>
      <c r="AI143" s="8" t="s">
        <v>298</v>
      </c>
      <c r="AJ143" s="8">
        <v>71.2</v>
      </c>
      <c r="AK143" s="8">
        <v>74.11</v>
      </c>
      <c r="AL143" s="8">
        <v>-2.91</v>
      </c>
      <c r="AM143" s="8" t="s">
        <v>105</v>
      </c>
      <c r="AN143" s="8" t="s">
        <v>105</v>
      </c>
      <c r="AO143" s="8">
        <v>0</v>
      </c>
      <c r="AP143" s="8">
        <v>0</v>
      </c>
      <c r="AQ143" s="8"/>
      <c r="AR143" s="8">
        <v>0</v>
      </c>
      <c r="AS143" s="8">
        <v>-1.71</v>
      </c>
      <c r="AT143" s="54"/>
      <c r="AU143" s="54"/>
    </row>
    <row r="144" spans="1:47" ht="49.95" customHeight="1" x14ac:dyDescent="0.25">
      <c r="A144" s="8">
        <f>SUBTOTAL(3, $J$2:J144)</f>
        <v>138</v>
      </c>
      <c r="B144" s="8" t="s">
        <v>180</v>
      </c>
      <c r="C144" s="8" t="s">
        <v>47</v>
      </c>
      <c r="D144" s="8">
        <v>42.608052000000001</v>
      </c>
      <c r="E144" s="8">
        <v>17.039331000000001</v>
      </c>
      <c r="F144" s="8">
        <v>62230</v>
      </c>
      <c r="G144" s="8">
        <v>14696</v>
      </c>
      <c r="H144" s="8" t="s">
        <v>532</v>
      </c>
      <c r="I144" s="8" t="s">
        <v>533</v>
      </c>
      <c r="J144" s="8">
        <v>121240206</v>
      </c>
      <c r="K144" s="8" t="s">
        <v>47</v>
      </c>
      <c r="L144" s="9">
        <f>1.15*Table1[[#This Row],[القيمة]]</f>
        <v>37205053.137999997</v>
      </c>
      <c r="M144" s="10" t="s">
        <v>534</v>
      </c>
      <c r="N144" s="11">
        <v>32352220.120000001</v>
      </c>
      <c r="O144" s="20" t="s">
        <v>535</v>
      </c>
      <c r="P144" s="11" t="s">
        <v>96</v>
      </c>
      <c r="Q144" s="11" t="s">
        <v>49</v>
      </c>
      <c r="R144" s="8" t="s">
        <v>49</v>
      </c>
      <c r="S144" s="10" t="s">
        <v>536</v>
      </c>
      <c r="T144" s="8" t="s">
        <v>60</v>
      </c>
      <c r="U144" s="8" t="s">
        <v>388</v>
      </c>
      <c r="V144" s="8" t="s">
        <v>389</v>
      </c>
      <c r="W144" s="8" t="s">
        <v>87</v>
      </c>
      <c r="X144" s="8" t="s">
        <v>75</v>
      </c>
      <c r="Y144" s="14">
        <v>45573</v>
      </c>
      <c r="Z144" s="14">
        <v>47083</v>
      </c>
      <c r="AA144" s="8"/>
      <c r="AB144" s="10" t="s">
        <v>537</v>
      </c>
      <c r="AC144" s="10" t="s">
        <v>90</v>
      </c>
      <c r="AD144" s="12">
        <f>Table1[[#This Row],[القيمة]]</f>
        <v>32352220.120000001</v>
      </c>
      <c r="AE144" s="8"/>
      <c r="AF144" s="16" t="s">
        <v>388</v>
      </c>
      <c r="AG144" s="8"/>
      <c r="AH144" s="8"/>
      <c r="AI144" s="8" t="s">
        <v>114</v>
      </c>
      <c r="AJ144" s="8">
        <v>17.72</v>
      </c>
      <c r="AK144" s="8">
        <v>16.57</v>
      </c>
      <c r="AL144" s="8">
        <v>1.1499999999999999</v>
      </c>
      <c r="AM144" s="8" t="s">
        <v>87</v>
      </c>
      <c r="AN144" s="8" t="s">
        <v>87</v>
      </c>
      <c r="AO144" s="8">
        <v>0</v>
      </c>
      <c r="AP144" s="8">
        <v>0</v>
      </c>
      <c r="AQ144" s="8"/>
      <c r="AR144" s="8">
        <v>0</v>
      </c>
      <c r="AS144" s="8">
        <v>1.27</v>
      </c>
      <c r="AT144" s="54"/>
      <c r="AU144" s="54"/>
    </row>
    <row r="145" spans="1:47" ht="49.95" customHeight="1" x14ac:dyDescent="0.25">
      <c r="A145" s="8">
        <f>SUBTOTAL(3, $J$2:J145)</f>
        <v>139</v>
      </c>
      <c r="B145" s="8" t="s">
        <v>126</v>
      </c>
      <c r="C145" s="8" t="s">
        <v>47</v>
      </c>
      <c r="D145" s="8">
        <v>42.596663999999997</v>
      </c>
      <c r="E145" s="8">
        <v>16.994977500000001</v>
      </c>
      <c r="F145" s="8">
        <v>60000</v>
      </c>
      <c r="G145" s="8">
        <v>51993</v>
      </c>
      <c r="H145" s="8" t="s">
        <v>542</v>
      </c>
      <c r="I145" s="8" t="s">
        <v>543</v>
      </c>
      <c r="J145" s="8">
        <v>121220067</v>
      </c>
      <c r="K145" s="8" t="s">
        <v>47</v>
      </c>
      <c r="L145" s="9">
        <f>1.15*Table1[[#This Row],[القيمة]]</f>
        <v>71999999.997499987</v>
      </c>
      <c r="M145" s="10" t="s">
        <v>544</v>
      </c>
      <c r="N145" s="11">
        <v>62608695.649999999</v>
      </c>
      <c r="O145" s="20" t="s">
        <v>545</v>
      </c>
      <c r="P145" s="11" t="s">
        <v>496</v>
      </c>
      <c r="Q145" s="11" t="s">
        <v>131</v>
      </c>
      <c r="R145" s="8" t="s">
        <v>49</v>
      </c>
      <c r="S145" s="10" t="s">
        <v>98</v>
      </c>
      <c r="T145" s="8" t="s">
        <v>60</v>
      </c>
      <c r="U145" s="8" t="s">
        <v>51</v>
      </c>
      <c r="V145" s="8" t="s">
        <v>51</v>
      </c>
      <c r="W145" s="8" t="s">
        <v>105</v>
      </c>
      <c r="X145" s="8" t="s">
        <v>75</v>
      </c>
      <c r="Y145" s="14">
        <v>44850</v>
      </c>
      <c r="Z145" s="14">
        <v>46432</v>
      </c>
      <c r="AA145" s="8"/>
      <c r="AB145" s="10" t="s">
        <v>59</v>
      </c>
      <c r="AC145" s="10" t="s">
        <v>91</v>
      </c>
      <c r="AD145" s="12">
        <f>Table1[[#This Row],[القيمة]]</f>
        <v>62608695.649999999</v>
      </c>
      <c r="AE145" s="8"/>
      <c r="AF145" s="97" t="s">
        <v>51</v>
      </c>
      <c r="AG145" s="8"/>
      <c r="AH145" s="8"/>
      <c r="AI145" s="8" t="s">
        <v>298</v>
      </c>
      <c r="AJ145" s="8">
        <v>56.29</v>
      </c>
      <c r="AK145" s="8">
        <v>57.74</v>
      </c>
      <c r="AL145" s="8">
        <v>-1.45</v>
      </c>
      <c r="AM145" s="8" t="s">
        <v>105</v>
      </c>
      <c r="AN145" s="8" t="s">
        <v>105</v>
      </c>
      <c r="AO145" s="8">
        <v>0</v>
      </c>
      <c r="AP145" s="8">
        <v>8</v>
      </c>
      <c r="AQ145" s="8"/>
      <c r="AR145" s="8">
        <v>0</v>
      </c>
      <c r="AS145" s="8">
        <v>-0.17</v>
      </c>
      <c r="AT145" s="54"/>
      <c r="AU145" s="54"/>
    </row>
    <row r="146" spans="1:47" ht="49.95" customHeight="1" x14ac:dyDescent="0.25">
      <c r="A146" s="8">
        <f>SUBTOTAL(3, $J$2:J146)</f>
        <v>140</v>
      </c>
      <c r="B146" s="8" t="s">
        <v>91</v>
      </c>
      <c r="C146" s="8" t="s">
        <v>47</v>
      </c>
      <c r="D146" s="8">
        <v>42.935098600000003</v>
      </c>
      <c r="E146" s="8">
        <v>17.232500000000002</v>
      </c>
      <c r="F146" s="8">
        <v>6300</v>
      </c>
      <c r="G146" s="8">
        <v>6389</v>
      </c>
      <c r="H146" s="8" t="s">
        <v>548</v>
      </c>
      <c r="I146" s="8" t="s">
        <v>549</v>
      </c>
      <c r="J146" s="8">
        <v>121220044</v>
      </c>
      <c r="K146" s="8" t="s">
        <v>47</v>
      </c>
      <c r="L146" s="9">
        <f>1.15*Table1[[#This Row],[القيمة]]</f>
        <v>38426082.75</v>
      </c>
      <c r="M146" s="10" t="s">
        <v>550</v>
      </c>
      <c r="N146" s="11">
        <v>33413985</v>
      </c>
      <c r="O146" s="20" t="s">
        <v>551</v>
      </c>
      <c r="P146" s="11" t="s">
        <v>496</v>
      </c>
      <c r="Q146" s="11" t="s">
        <v>49</v>
      </c>
      <c r="R146" s="8" t="s">
        <v>49</v>
      </c>
      <c r="S146" s="10" t="s">
        <v>552</v>
      </c>
      <c r="T146" s="8" t="s">
        <v>60</v>
      </c>
      <c r="U146" s="8" t="s">
        <v>380</v>
      </c>
      <c r="V146" s="8" t="s">
        <v>380</v>
      </c>
      <c r="W146" s="8" t="s">
        <v>175</v>
      </c>
      <c r="X146" s="8" t="s">
        <v>75</v>
      </c>
      <c r="Y146" s="14">
        <v>44831</v>
      </c>
      <c r="Z146" s="14">
        <v>46388</v>
      </c>
      <c r="AA146" s="8"/>
      <c r="AB146" s="10" t="s">
        <v>552</v>
      </c>
      <c r="AC146" s="10" t="s">
        <v>91</v>
      </c>
      <c r="AD146" s="12">
        <f>Table1[[#This Row],[القيمة]]</f>
        <v>33413985</v>
      </c>
      <c r="AE146" s="8"/>
      <c r="AF146" s="8" t="s">
        <v>380</v>
      </c>
      <c r="AG146" s="8"/>
      <c r="AH146" s="8"/>
      <c r="AI146" s="8" t="s">
        <v>114</v>
      </c>
      <c r="AJ146" s="8">
        <v>64.75</v>
      </c>
      <c r="AK146" s="8">
        <v>51.48</v>
      </c>
      <c r="AL146" s="8">
        <v>13.27</v>
      </c>
      <c r="AM146" s="8" t="s">
        <v>87</v>
      </c>
      <c r="AN146" s="8" t="s">
        <v>87</v>
      </c>
      <c r="AO146" s="8">
        <v>0</v>
      </c>
      <c r="AP146" s="8">
        <v>5</v>
      </c>
      <c r="AQ146" s="8"/>
      <c r="AR146" s="8">
        <v>0</v>
      </c>
      <c r="AS146" s="8">
        <v>4.84</v>
      </c>
      <c r="AT146" s="54"/>
      <c r="AU146" s="54"/>
    </row>
    <row r="147" spans="1:47" ht="49.95" customHeight="1" x14ac:dyDescent="0.25">
      <c r="A147" s="8"/>
      <c r="B147" s="8"/>
      <c r="C147" s="8"/>
      <c r="D147" s="8"/>
      <c r="E147" s="8"/>
      <c r="F147" s="8"/>
      <c r="G147" s="8"/>
      <c r="H147" s="8"/>
      <c r="I147" s="8"/>
      <c r="J147" s="8">
        <v>111260330</v>
      </c>
      <c r="K147" s="8" t="s">
        <v>47</v>
      </c>
      <c r="L147" s="9"/>
      <c r="M147" s="10" t="s">
        <v>595</v>
      </c>
      <c r="N147" s="77">
        <v>1139650</v>
      </c>
      <c r="O147" s="20"/>
      <c r="P147" s="11"/>
      <c r="Q147" s="11"/>
      <c r="R147" s="8" t="s">
        <v>596</v>
      </c>
      <c r="S147" s="10" t="s">
        <v>306</v>
      </c>
      <c r="T147" s="8"/>
      <c r="U147" s="8" t="s">
        <v>597</v>
      </c>
      <c r="V147" s="8"/>
      <c r="W147" s="8" t="s">
        <v>87</v>
      </c>
      <c r="X147" s="8" t="s">
        <v>75</v>
      </c>
      <c r="Y147" s="14">
        <v>46218</v>
      </c>
      <c r="Z147" s="14">
        <v>46402</v>
      </c>
      <c r="AA147" s="55" t="s">
        <v>76</v>
      </c>
      <c r="AB147" s="10" t="s">
        <v>598</v>
      </c>
      <c r="AC147" s="10" t="s">
        <v>91</v>
      </c>
      <c r="AD147" s="12"/>
      <c r="AE147" s="8" t="s">
        <v>597</v>
      </c>
      <c r="AF147" s="8"/>
      <c r="AG147" s="8"/>
      <c r="AH147" s="8"/>
      <c r="AI147" s="8"/>
      <c r="AJ147" s="8">
        <v>0</v>
      </c>
      <c r="AK147" s="8">
        <v>0</v>
      </c>
      <c r="AL147" s="8">
        <v>0</v>
      </c>
      <c r="AM147" s="8"/>
      <c r="AN147" s="8"/>
      <c r="AO147" s="8"/>
      <c r="AP147" s="8"/>
      <c r="AQ147" s="8"/>
      <c r="AR147" s="8"/>
      <c r="AS147" s="8"/>
      <c r="AT147" s="54"/>
      <c r="AU147" s="54"/>
    </row>
    <row r="148" spans="1:47" ht="49.95" customHeight="1" x14ac:dyDescent="0.25">
      <c r="A148" s="8">
        <f>SUBTOTAL(3, $J$2:J148)</f>
        <v>142</v>
      </c>
      <c r="B148" s="8" t="s">
        <v>180</v>
      </c>
      <c r="C148" s="8" t="s">
        <v>47</v>
      </c>
      <c r="D148" s="8">
        <v>42.247382000000002</v>
      </c>
      <c r="E148" s="8">
        <v>18.274944000000001</v>
      </c>
      <c r="F148" s="8">
        <v>22000</v>
      </c>
      <c r="G148" s="8">
        <v>514</v>
      </c>
      <c r="H148" s="8" t="s">
        <v>603</v>
      </c>
      <c r="I148" s="8" t="s">
        <v>604</v>
      </c>
      <c r="J148" s="8">
        <v>111250428</v>
      </c>
      <c r="K148" s="8" t="s">
        <v>47</v>
      </c>
      <c r="L148" s="9">
        <f>1.15*Table1[[#This Row],[القيمة]]</f>
        <v>21717553.349999998</v>
      </c>
      <c r="M148" s="10" t="s">
        <v>605</v>
      </c>
      <c r="N148" s="11">
        <v>18884829</v>
      </c>
      <c r="O148" s="20" t="s">
        <v>606</v>
      </c>
      <c r="P148" s="11" t="s">
        <v>96</v>
      </c>
      <c r="Q148" s="11" t="s">
        <v>607</v>
      </c>
      <c r="R148" s="8" t="s">
        <v>596</v>
      </c>
      <c r="S148" s="10" t="s">
        <v>273</v>
      </c>
      <c r="T148" s="8" t="s">
        <v>60</v>
      </c>
      <c r="U148" s="8" t="s">
        <v>608</v>
      </c>
      <c r="V148" s="8" t="s">
        <v>608</v>
      </c>
      <c r="W148" s="8" t="s">
        <v>87</v>
      </c>
      <c r="X148" s="8" t="s">
        <v>75</v>
      </c>
      <c r="Y148" s="14">
        <v>45935</v>
      </c>
      <c r="Z148" s="14">
        <v>47018</v>
      </c>
      <c r="AA148" s="8"/>
      <c r="AB148" s="10" t="s">
        <v>273</v>
      </c>
      <c r="AC148" s="10" t="s">
        <v>90</v>
      </c>
      <c r="AD148" s="12">
        <f>Table1[[#This Row],[القيمة]]</f>
        <v>18884829</v>
      </c>
      <c r="AE148" s="8" t="s">
        <v>608</v>
      </c>
      <c r="AF148" s="97"/>
      <c r="AG148" s="8"/>
      <c r="AH148" s="8"/>
      <c r="AI148" s="8" t="s">
        <v>114</v>
      </c>
      <c r="AJ148" s="8">
        <v>5.96</v>
      </c>
      <c r="AK148" s="8">
        <v>2.85</v>
      </c>
      <c r="AL148" s="8">
        <v>3.11</v>
      </c>
      <c r="AM148" s="8" t="s">
        <v>87</v>
      </c>
      <c r="AN148" s="8" t="s">
        <v>87</v>
      </c>
      <c r="AO148" s="8"/>
      <c r="AP148" s="8"/>
      <c r="AQ148" s="8"/>
      <c r="AR148" s="8" t="s">
        <v>230</v>
      </c>
      <c r="AS148" s="8">
        <v>1.44</v>
      </c>
      <c r="AT148" s="54"/>
      <c r="AU148" s="54"/>
    </row>
    <row r="149" spans="1:47" ht="49.95" customHeight="1" x14ac:dyDescent="0.25">
      <c r="A149" s="8">
        <f>SUBTOTAL(3, $J$2:J149)</f>
        <v>143</v>
      </c>
      <c r="B149" s="8" t="s">
        <v>180</v>
      </c>
      <c r="C149" s="8" t="s">
        <v>47</v>
      </c>
      <c r="D149" s="8">
        <v>42.201777999999997</v>
      </c>
      <c r="E149" s="8">
        <v>18.915534000000001</v>
      </c>
      <c r="F149" s="8">
        <v>22800</v>
      </c>
      <c r="G149" s="8">
        <v>0</v>
      </c>
      <c r="H149" s="8" t="s">
        <v>609</v>
      </c>
      <c r="I149" s="8" t="s">
        <v>610</v>
      </c>
      <c r="J149" s="8">
        <v>111250377</v>
      </c>
      <c r="K149" s="8" t="s">
        <v>47</v>
      </c>
      <c r="L149" s="9">
        <f>1.15*Table1[[#This Row],[القيمة]]</f>
        <v>29406822.499999996</v>
      </c>
      <c r="M149" s="10" t="s">
        <v>611</v>
      </c>
      <c r="N149" s="11">
        <v>25571150</v>
      </c>
      <c r="O149" s="20" t="s">
        <v>612</v>
      </c>
      <c r="P149" s="11" t="s">
        <v>111</v>
      </c>
      <c r="Q149" s="11" t="s">
        <v>613</v>
      </c>
      <c r="R149" s="8" t="s">
        <v>596</v>
      </c>
      <c r="S149" s="10" t="s">
        <v>113</v>
      </c>
      <c r="T149" s="8" t="s">
        <v>60</v>
      </c>
      <c r="U149" s="8" t="s">
        <v>614</v>
      </c>
      <c r="V149" s="8" t="s">
        <v>614</v>
      </c>
      <c r="W149" s="8" t="s">
        <v>87</v>
      </c>
      <c r="X149" s="8" t="s">
        <v>75</v>
      </c>
      <c r="Y149" s="14">
        <v>45957</v>
      </c>
      <c r="Z149" s="14">
        <v>47036</v>
      </c>
      <c r="AA149" s="8"/>
      <c r="AB149" s="10" t="s">
        <v>113</v>
      </c>
      <c r="AC149" s="10" t="s">
        <v>90</v>
      </c>
      <c r="AD149" s="12">
        <f>Table1[[#This Row],[القيمة]]</f>
        <v>25571150</v>
      </c>
      <c r="AE149" s="8" t="s">
        <v>614</v>
      </c>
      <c r="AF149" s="8"/>
      <c r="AG149" s="8"/>
      <c r="AH149" s="8"/>
      <c r="AI149" s="8"/>
      <c r="AJ149" s="8">
        <v>3.46</v>
      </c>
      <c r="AK149" s="8">
        <v>0.87</v>
      </c>
      <c r="AL149" s="8">
        <v>2.59</v>
      </c>
      <c r="AM149" s="8" t="s">
        <v>87</v>
      </c>
      <c r="AN149" s="8" t="s">
        <v>87</v>
      </c>
      <c r="AO149" s="8">
        <v>0</v>
      </c>
      <c r="AP149" s="8">
        <v>0</v>
      </c>
      <c r="AQ149" s="8"/>
      <c r="AR149" s="8"/>
      <c r="AS149" s="8">
        <v>0.53</v>
      </c>
      <c r="AT149" s="54"/>
      <c r="AU149" s="54"/>
    </row>
    <row r="150" spans="1:47" ht="49.95" customHeight="1" x14ac:dyDescent="0.25">
      <c r="A150" s="8">
        <f>SUBTOTAL(3, $J$2:J150)</f>
        <v>144</v>
      </c>
      <c r="B150" s="8" t="s">
        <v>126</v>
      </c>
      <c r="C150" s="8" t="s">
        <v>47</v>
      </c>
      <c r="D150" s="8">
        <v>42.250703899999998</v>
      </c>
      <c r="E150" s="8">
        <v>18.219913699999999</v>
      </c>
      <c r="F150" s="8">
        <v>10100</v>
      </c>
      <c r="G150" s="8">
        <v>2947</v>
      </c>
      <c r="H150" s="8" t="s">
        <v>615</v>
      </c>
      <c r="I150" s="8" t="s">
        <v>616</v>
      </c>
      <c r="J150" s="8">
        <v>111250339</v>
      </c>
      <c r="K150" s="8" t="s">
        <v>47</v>
      </c>
      <c r="L150" s="9">
        <f>1.15*Table1[[#This Row],[القيمة]]</f>
        <v>13599988.549999999</v>
      </c>
      <c r="M150" s="10" t="s">
        <v>617</v>
      </c>
      <c r="N150" s="11">
        <v>11826077</v>
      </c>
      <c r="O150" s="20" t="s">
        <v>618</v>
      </c>
      <c r="P150" s="11" t="s">
        <v>111</v>
      </c>
      <c r="Q150" s="11" t="s">
        <v>131</v>
      </c>
      <c r="R150" s="8" t="s">
        <v>596</v>
      </c>
      <c r="S150" s="10" t="s">
        <v>273</v>
      </c>
      <c r="T150" s="8" t="s">
        <v>60</v>
      </c>
      <c r="U150" s="8" t="s">
        <v>511</v>
      </c>
      <c r="V150" s="8" t="s">
        <v>511</v>
      </c>
      <c r="W150" s="8" t="s">
        <v>105</v>
      </c>
      <c r="X150" s="8" t="s">
        <v>75</v>
      </c>
      <c r="Y150" s="14">
        <v>45888</v>
      </c>
      <c r="Z150" s="14">
        <v>46937</v>
      </c>
      <c r="AA150" s="8"/>
      <c r="AB150" s="10" t="s">
        <v>273</v>
      </c>
      <c r="AC150" s="10" t="s">
        <v>90</v>
      </c>
      <c r="AD150" s="12">
        <f>Table1[[#This Row],[القيمة]]</f>
        <v>11826077</v>
      </c>
      <c r="AE150" s="8" t="s">
        <v>511</v>
      </c>
      <c r="AF150" s="8"/>
      <c r="AG150" s="8"/>
      <c r="AH150" s="8"/>
      <c r="AI150" s="8" t="s">
        <v>133</v>
      </c>
      <c r="AJ150" s="8">
        <v>22.22</v>
      </c>
      <c r="AK150" s="8">
        <v>24.45</v>
      </c>
      <c r="AL150" s="8">
        <v>-2.23</v>
      </c>
      <c r="AM150" s="8" t="s">
        <v>105</v>
      </c>
      <c r="AN150" s="8" t="s">
        <v>105</v>
      </c>
      <c r="AO150" s="8">
        <v>0</v>
      </c>
      <c r="AP150" s="8">
        <v>1</v>
      </c>
      <c r="AQ150" s="8"/>
      <c r="AR150" s="8">
        <v>0</v>
      </c>
      <c r="AS150" s="8">
        <v>-1.58</v>
      </c>
      <c r="AT150" s="54"/>
      <c r="AU150" s="54"/>
    </row>
    <row r="151" spans="1:47" ht="49.95" customHeight="1" x14ac:dyDescent="0.25">
      <c r="A151" s="8">
        <f>SUBTOTAL(3, $J$2:J151)</f>
        <v>145</v>
      </c>
      <c r="B151" s="8" t="s">
        <v>44</v>
      </c>
      <c r="C151" s="8" t="s">
        <v>47</v>
      </c>
      <c r="D151" s="8">
        <v>42.833275999999998</v>
      </c>
      <c r="E151" s="8">
        <v>18.168927</v>
      </c>
      <c r="F151" s="8">
        <v>0</v>
      </c>
      <c r="G151" s="8">
        <v>0</v>
      </c>
      <c r="H151" s="8" t="s">
        <v>619</v>
      </c>
      <c r="I151" s="8" t="s">
        <v>620</v>
      </c>
      <c r="J151" s="41">
        <v>111250314</v>
      </c>
      <c r="K151" s="8" t="s">
        <v>47</v>
      </c>
      <c r="L151" s="9">
        <f>1.15*Table1[[#This Row],[القيمة]]</f>
        <v>12472239.899999999</v>
      </c>
      <c r="M151" s="42" t="s">
        <v>621</v>
      </c>
      <c r="N151" s="43">
        <v>10845426</v>
      </c>
      <c r="O151" s="44" t="s">
        <v>622</v>
      </c>
      <c r="P151" s="11" t="s">
        <v>96</v>
      </c>
      <c r="Q151" s="11" t="s">
        <v>623</v>
      </c>
      <c r="R151" s="8" t="s">
        <v>596</v>
      </c>
      <c r="S151" s="42" t="s">
        <v>624</v>
      </c>
      <c r="T151" s="8" t="s">
        <v>60</v>
      </c>
      <c r="U151" s="8" t="s">
        <v>601</v>
      </c>
      <c r="V151" s="41" t="s">
        <v>625</v>
      </c>
      <c r="W151" s="8" t="s">
        <v>87</v>
      </c>
      <c r="X151" s="8" t="s">
        <v>75</v>
      </c>
      <c r="Y151" s="14">
        <v>46035</v>
      </c>
      <c r="Z151" s="14">
        <v>46895</v>
      </c>
      <c r="AA151" s="8"/>
      <c r="AB151" s="10" t="s">
        <v>626</v>
      </c>
      <c r="AC151" s="10" t="s">
        <v>91</v>
      </c>
      <c r="AD151" s="12">
        <f>Table1[[#This Row],[القيمة]]</f>
        <v>10845426</v>
      </c>
      <c r="AE151" s="19" t="s">
        <v>601</v>
      </c>
      <c r="AF151" s="8"/>
      <c r="AG151" s="8"/>
      <c r="AH151" s="8"/>
      <c r="AI151" s="8" t="s">
        <v>114</v>
      </c>
      <c r="AJ151" s="8">
        <v>3.55</v>
      </c>
      <c r="AK151" s="8">
        <v>2.72</v>
      </c>
      <c r="AL151" s="8">
        <v>0.83</v>
      </c>
      <c r="AM151" s="8" t="s">
        <v>87</v>
      </c>
      <c r="AN151" s="8" t="s">
        <v>87</v>
      </c>
      <c r="AO151" s="8">
        <v>0</v>
      </c>
      <c r="AP151" s="8">
        <v>0</v>
      </c>
      <c r="AQ151" s="8"/>
      <c r="AR151" s="8" t="s">
        <v>627</v>
      </c>
      <c r="AS151" s="8">
        <v>2.12</v>
      </c>
      <c r="AT151" s="54"/>
      <c r="AU151" s="54"/>
    </row>
    <row r="152" spans="1:47" ht="88.2" customHeight="1" x14ac:dyDescent="0.25">
      <c r="A152" s="8">
        <f>SUBTOTAL(3, $J$2:J152)</f>
        <v>146</v>
      </c>
      <c r="B152" s="8" t="s">
        <v>180</v>
      </c>
      <c r="C152" s="8" t="s">
        <v>47</v>
      </c>
      <c r="D152" s="8">
        <v>42.869408</v>
      </c>
      <c r="E152" s="8">
        <v>18.227706999999999</v>
      </c>
      <c r="F152" s="8">
        <v>19300</v>
      </c>
      <c r="G152" s="8">
        <v>0</v>
      </c>
      <c r="H152" s="8" t="s">
        <v>628</v>
      </c>
      <c r="I152" s="8" t="s">
        <v>629</v>
      </c>
      <c r="J152" s="41">
        <v>111250304</v>
      </c>
      <c r="K152" s="8" t="s">
        <v>47</v>
      </c>
      <c r="L152" s="9">
        <f>1.15*Table1[[#This Row],[القيمة]]</f>
        <v>16279514.999999998</v>
      </c>
      <c r="M152" s="42" t="s">
        <v>630</v>
      </c>
      <c r="N152" s="43">
        <v>14156100</v>
      </c>
      <c r="O152" s="44" t="s">
        <v>631</v>
      </c>
      <c r="P152" s="11" t="s">
        <v>632</v>
      </c>
      <c r="Q152" s="11" t="s">
        <v>633</v>
      </c>
      <c r="R152" s="8" t="s">
        <v>596</v>
      </c>
      <c r="S152" s="42" t="s">
        <v>634</v>
      </c>
      <c r="T152" s="8" t="s">
        <v>60</v>
      </c>
      <c r="U152" s="8" t="s">
        <v>597</v>
      </c>
      <c r="V152" s="41" t="s">
        <v>625</v>
      </c>
      <c r="W152" s="8" t="s">
        <v>105</v>
      </c>
      <c r="X152" s="8" t="s">
        <v>75</v>
      </c>
      <c r="Y152" s="14">
        <v>45960</v>
      </c>
      <c r="Z152" s="14">
        <v>46979</v>
      </c>
      <c r="AA152" s="8"/>
      <c r="AB152" s="10" t="s">
        <v>634</v>
      </c>
      <c r="AC152" s="10" t="s">
        <v>90</v>
      </c>
      <c r="AD152" s="12">
        <f>Table1[[#This Row],[القيمة]]</f>
        <v>14156100</v>
      </c>
      <c r="AE152" s="41" t="s">
        <v>597</v>
      </c>
      <c r="AF152" s="8"/>
      <c r="AG152" s="8"/>
      <c r="AH152" s="8"/>
      <c r="AI152" s="8" t="s">
        <v>114</v>
      </c>
      <c r="AJ152" s="8">
        <v>4.75</v>
      </c>
      <c r="AK152" s="8">
        <v>4.91</v>
      </c>
      <c r="AL152" s="8">
        <v>-0.16</v>
      </c>
      <c r="AM152" s="8" t="s">
        <v>87</v>
      </c>
      <c r="AN152" s="8" t="s">
        <v>87</v>
      </c>
      <c r="AO152" s="8">
        <v>0</v>
      </c>
      <c r="AP152" s="8">
        <v>0</v>
      </c>
      <c r="AQ152" s="8"/>
      <c r="AR152" s="8" t="s">
        <v>635</v>
      </c>
      <c r="AS152" s="8">
        <v>1.02</v>
      </c>
      <c r="AT152" s="54"/>
      <c r="AU152" s="54"/>
    </row>
    <row r="153" spans="1:47" ht="49.95" customHeight="1" x14ac:dyDescent="0.25">
      <c r="A153" s="8">
        <f>SUBTOTAL(3, $J$2:J153)</f>
        <v>147</v>
      </c>
      <c r="B153" s="8" t="s">
        <v>91</v>
      </c>
      <c r="C153" s="8" t="s">
        <v>47</v>
      </c>
      <c r="D153" s="8">
        <v>41.935248999999999</v>
      </c>
      <c r="E153" s="8">
        <v>18.523192999999999</v>
      </c>
      <c r="F153" s="8">
        <v>7000</v>
      </c>
      <c r="G153" s="8">
        <v>2445</v>
      </c>
      <c r="H153" s="8" t="s">
        <v>636</v>
      </c>
      <c r="I153" s="8" t="s">
        <v>637</v>
      </c>
      <c r="J153" s="8">
        <v>111250295</v>
      </c>
      <c r="K153" s="8" t="s">
        <v>47</v>
      </c>
      <c r="L153" s="9">
        <f>1.15*Table1[[#This Row],[القيمة]]</f>
        <v>11731633</v>
      </c>
      <c r="M153" s="10" t="s">
        <v>638</v>
      </c>
      <c r="N153" s="11">
        <v>10201420</v>
      </c>
      <c r="O153" s="20" t="s">
        <v>639</v>
      </c>
      <c r="P153" s="11" t="s">
        <v>111</v>
      </c>
      <c r="Q153" s="11" t="s">
        <v>640</v>
      </c>
      <c r="R153" s="8" t="s">
        <v>596</v>
      </c>
      <c r="S153" s="10" t="s">
        <v>147</v>
      </c>
      <c r="T153" s="8" t="s">
        <v>60</v>
      </c>
      <c r="U153" s="8" t="s">
        <v>641</v>
      </c>
      <c r="V153" s="8" t="s">
        <v>641</v>
      </c>
      <c r="W153" s="8" t="s">
        <v>105</v>
      </c>
      <c r="X153" s="8" t="s">
        <v>75</v>
      </c>
      <c r="Y153" s="14">
        <v>45928</v>
      </c>
      <c r="Z153" s="14">
        <v>46839</v>
      </c>
      <c r="AA153" s="8"/>
      <c r="AB153" s="10" t="s">
        <v>147</v>
      </c>
      <c r="AC153" s="10" t="s">
        <v>91</v>
      </c>
      <c r="AD153" s="12">
        <f>Table1[[#This Row],[القيمة]]</f>
        <v>10201420</v>
      </c>
      <c r="AE153" s="8" t="s">
        <v>641</v>
      </c>
      <c r="AF153" s="8"/>
      <c r="AG153" s="8"/>
      <c r="AH153" s="8"/>
      <c r="AI153" s="8" t="s">
        <v>114</v>
      </c>
      <c r="AJ153" s="8">
        <v>17.260000000000002</v>
      </c>
      <c r="AK153" s="8">
        <v>37.65</v>
      </c>
      <c r="AL153" s="8">
        <v>-20.39</v>
      </c>
      <c r="AM153" s="8" t="s">
        <v>105</v>
      </c>
      <c r="AN153" s="8" t="s">
        <v>105</v>
      </c>
      <c r="AO153" s="8">
        <v>0</v>
      </c>
      <c r="AP153" s="8">
        <v>0</v>
      </c>
      <c r="AQ153" s="8"/>
      <c r="AR153" s="8">
        <v>22</v>
      </c>
      <c r="AS153" s="8">
        <v>-4.72</v>
      </c>
      <c r="AT153" s="54"/>
      <c r="AU153" s="54"/>
    </row>
    <row r="154" spans="1:47" ht="49.95" customHeight="1" x14ac:dyDescent="0.25">
      <c r="A154" s="8">
        <f>SUBTOTAL(3, $J$2:J154)</f>
        <v>148</v>
      </c>
      <c r="B154" s="8" t="s">
        <v>180</v>
      </c>
      <c r="C154" s="8" t="s">
        <v>47</v>
      </c>
      <c r="D154" s="8">
        <v>41.908851900000002</v>
      </c>
      <c r="E154" s="8">
        <v>19.098310000000001</v>
      </c>
      <c r="F154" s="8">
        <v>26400</v>
      </c>
      <c r="G154" s="8">
        <v>3546</v>
      </c>
      <c r="H154" s="8" t="s">
        <v>642</v>
      </c>
      <c r="I154" s="8" t="s">
        <v>643</v>
      </c>
      <c r="J154" s="8">
        <v>111250291</v>
      </c>
      <c r="K154" s="8" t="s">
        <v>47</v>
      </c>
      <c r="L154" s="9">
        <f>1.15*Table1[[#This Row],[القيمة]]</f>
        <v>37643272.862499997</v>
      </c>
      <c r="M154" s="10" t="s">
        <v>644</v>
      </c>
      <c r="N154" s="11">
        <v>32733280.75</v>
      </c>
      <c r="O154" s="20" t="s">
        <v>645</v>
      </c>
      <c r="P154" s="11" t="s">
        <v>111</v>
      </c>
      <c r="Q154" s="11" t="s">
        <v>646</v>
      </c>
      <c r="R154" s="8" t="s">
        <v>596</v>
      </c>
      <c r="S154" s="10" t="s">
        <v>647</v>
      </c>
      <c r="T154" s="8" t="s">
        <v>60</v>
      </c>
      <c r="U154" s="8" t="s">
        <v>641</v>
      </c>
      <c r="V154" s="8" t="s">
        <v>641</v>
      </c>
      <c r="W154" s="8" t="s">
        <v>105</v>
      </c>
      <c r="X154" s="8" t="s">
        <v>75</v>
      </c>
      <c r="Y154" s="14">
        <v>45895</v>
      </c>
      <c r="Z154" s="14">
        <v>46985</v>
      </c>
      <c r="AA154" s="8"/>
      <c r="AB154" s="10" t="s">
        <v>647</v>
      </c>
      <c r="AC154" s="10" t="s">
        <v>90</v>
      </c>
      <c r="AD154" s="12">
        <f>Table1[[#This Row],[القيمة]]</f>
        <v>32733280.75</v>
      </c>
      <c r="AE154" s="8" t="s">
        <v>641</v>
      </c>
      <c r="AF154" s="8"/>
      <c r="AG154" s="8"/>
      <c r="AH154" s="8"/>
      <c r="AI154" s="8" t="s">
        <v>114</v>
      </c>
      <c r="AJ154" s="8">
        <v>9.27</v>
      </c>
      <c r="AK154" s="8">
        <v>13.8</v>
      </c>
      <c r="AL154" s="8">
        <v>-4.53</v>
      </c>
      <c r="AM154" s="8" t="s">
        <v>105</v>
      </c>
      <c r="AN154" s="8" t="s">
        <v>105</v>
      </c>
      <c r="AO154" s="8">
        <v>0</v>
      </c>
      <c r="AP154" s="8">
        <v>1</v>
      </c>
      <c r="AQ154" s="8"/>
      <c r="AR154" s="8" t="s">
        <v>648</v>
      </c>
      <c r="AS154" s="8">
        <v>-1.84</v>
      </c>
      <c r="AT154" s="54"/>
      <c r="AU154" s="54"/>
    </row>
    <row r="155" spans="1:47" ht="49.95" customHeight="1" x14ac:dyDescent="0.25">
      <c r="A155" s="8">
        <f>SUBTOTAL(3, $J$2:J155)</f>
        <v>149</v>
      </c>
      <c r="B155" s="8" t="s">
        <v>126</v>
      </c>
      <c r="C155" s="8" t="s">
        <v>47</v>
      </c>
      <c r="D155" s="8">
        <v>43.571652999999998</v>
      </c>
      <c r="E155" s="8">
        <v>19.516404000000001</v>
      </c>
      <c r="F155" s="8">
        <v>32615</v>
      </c>
      <c r="G155" s="8">
        <v>643</v>
      </c>
      <c r="H155" s="8" t="s">
        <v>649</v>
      </c>
      <c r="I155" s="8" t="s">
        <v>650</v>
      </c>
      <c r="J155" s="8">
        <v>111250287</v>
      </c>
      <c r="K155" s="8" t="s">
        <v>47</v>
      </c>
      <c r="L155" s="9">
        <f>1.15*Table1[[#This Row],[القيمة]]</f>
        <v>39578112.5</v>
      </c>
      <c r="M155" s="10" t="s">
        <v>651</v>
      </c>
      <c r="N155" s="11">
        <v>34415750</v>
      </c>
      <c r="O155" s="20" t="s">
        <v>652</v>
      </c>
      <c r="P155" s="11" t="s">
        <v>111</v>
      </c>
      <c r="Q155" s="11" t="s">
        <v>653</v>
      </c>
      <c r="R155" s="8" t="s">
        <v>596</v>
      </c>
      <c r="S155" s="10" t="s">
        <v>654</v>
      </c>
      <c r="T155" s="8" t="s">
        <v>60</v>
      </c>
      <c r="U155" s="8" t="s">
        <v>625</v>
      </c>
      <c r="V155" s="8" t="s">
        <v>655</v>
      </c>
      <c r="W155" s="8" t="s">
        <v>105</v>
      </c>
      <c r="X155" s="8" t="s">
        <v>75</v>
      </c>
      <c r="Y155" s="14">
        <v>45949</v>
      </c>
      <c r="Z155" s="14">
        <v>46986</v>
      </c>
      <c r="AA155" s="8"/>
      <c r="AB155" s="10" t="s">
        <v>656</v>
      </c>
      <c r="AC155" s="10" t="s">
        <v>90</v>
      </c>
      <c r="AD155" s="12">
        <f>Table1[[#This Row],[القيمة]]</f>
        <v>34415750</v>
      </c>
      <c r="AE155" s="8" t="s">
        <v>625</v>
      </c>
      <c r="AF155" s="8"/>
      <c r="AG155" s="8"/>
      <c r="AH155" s="8"/>
      <c r="AI155" s="8" t="s">
        <v>133</v>
      </c>
      <c r="AJ155" s="8">
        <v>2.85</v>
      </c>
      <c r="AK155" s="8">
        <v>2.9</v>
      </c>
      <c r="AL155" s="8">
        <v>-0.05</v>
      </c>
      <c r="AM155" s="8" t="s">
        <v>105</v>
      </c>
      <c r="AN155" s="8" t="s">
        <v>105</v>
      </c>
      <c r="AO155" s="8">
        <v>0</v>
      </c>
      <c r="AP155" s="8">
        <v>0</v>
      </c>
      <c r="AQ155" s="8"/>
      <c r="AR155" s="8" t="s">
        <v>635</v>
      </c>
      <c r="AS155" s="8">
        <v>-0.27</v>
      </c>
      <c r="AT155" s="54"/>
      <c r="AU155" s="54"/>
    </row>
    <row r="156" spans="1:47" ht="49.95" customHeight="1" x14ac:dyDescent="0.25">
      <c r="A156" s="8">
        <f>SUBTOTAL(3, $J$2:J156)</f>
        <v>150</v>
      </c>
      <c r="B156" s="8" t="s">
        <v>126</v>
      </c>
      <c r="C156" s="8" t="s">
        <v>47</v>
      </c>
      <c r="D156" s="8">
        <v>41.9331557</v>
      </c>
      <c r="E156" s="8">
        <v>17.787676000000001</v>
      </c>
      <c r="F156" s="8">
        <v>163000</v>
      </c>
      <c r="G156" s="8">
        <v>7472</v>
      </c>
      <c r="H156" s="8" t="s">
        <v>657</v>
      </c>
      <c r="I156" s="8" t="s">
        <v>658</v>
      </c>
      <c r="J156" s="8">
        <v>111250219</v>
      </c>
      <c r="K156" s="8" t="s">
        <v>47</v>
      </c>
      <c r="L156" s="9">
        <f>1.15*Table1[[#This Row],[القيمة]]</f>
        <v>83720906.199999988</v>
      </c>
      <c r="M156" s="10" t="s">
        <v>659</v>
      </c>
      <c r="N156" s="11">
        <v>72800788</v>
      </c>
      <c r="O156" s="20" t="s">
        <v>660</v>
      </c>
      <c r="P156" s="11" t="s">
        <v>111</v>
      </c>
      <c r="Q156" s="11" t="s">
        <v>661</v>
      </c>
      <c r="R156" s="8" t="s">
        <v>596</v>
      </c>
      <c r="S156" s="10" t="s">
        <v>434</v>
      </c>
      <c r="T156" s="8" t="s">
        <v>60</v>
      </c>
      <c r="U156" s="8" t="s">
        <v>608</v>
      </c>
      <c r="V156" s="8" t="s">
        <v>608</v>
      </c>
      <c r="W156" s="8" t="s">
        <v>105</v>
      </c>
      <c r="X156" s="8" t="s">
        <v>75</v>
      </c>
      <c r="Y156" s="14">
        <v>45883</v>
      </c>
      <c r="Z156" s="14">
        <v>47220</v>
      </c>
      <c r="AA156" s="8"/>
      <c r="AB156" s="10" t="s">
        <v>435</v>
      </c>
      <c r="AC156" s="10" t="s">
        <v>91</v>
      </c>
      <c r="AD156" s="12">
        <f>Table1[[#This Row],[القيمة]]</f>
        <v>72800788</v>
      </c>
      <c r="AE156" s="8" t="s">
        <v>608</v>
      </c>
      <c r="AF156" s="8"/>
      <c r="AG156" s="8"/>
      <c r="AH156" s="8"/>
      <c r="AI156" s="8" t="s">
        <v>298</v>
      </c>
      <c r="AJ156" s="8">
        <v>5.65</v>
      </c>
      <c r="AK156" s="8">
        <v>8.76</v>
      </c>
      <c r="AL156" s="8">
        <v>-3.11</v>
      </c>
      <c r="AM156" s="8" t="s">
        <v>105</v>
      </c>
      <c r="AN156" s="8" t="s">
        <v>105</v>
      </c>
      <c r="AO156" s="8">
        <v>0</v>
      </c>
      <c r="AP156" s="8">
        <v>1</v>
      </c>
      <c r="AQ156" s="8"/>
      <c r="AR156" s="8">
        <v>39</v>
      </c>
      <c r="AS156" s="8">
        <v>-1.86</v>
      </c>
      <c r="AT156" s="54"/>
      <c r="AU156" s="54"/>
    </row>
    <row r="157" spans="1:47" ht="49.95" customHeight="1" x14ac:dyDescent="0.25">
      <c r="A157" s="8">
        <f>SUBTOTAL(3, $J$2:J157)</f>
        <v>151</v>
      </c>
      <c r="B157" s="8" t="s">
        <v>180</v>
      </c>
      <c r="C157" s="8" t="s">
        <v>47</v>
      </c>
      <c r="D157" s="8">
        <v>43.128478999999999</v>
      </c>
      <c r="E157" s="8">
        <v>18.080020000000001</v>
      </c>
      <c r="F157" s="8">
        <v>14700</v>
      </c>
      <c r="G157" s="8">
        <v>3300</v>
      </c>
      <c r="H157" s="8" t="s">
        <v>662</v>
      </c>
      <c r="I157" s="8" t="s">
        <v>663</v>
      </c>
      <c r="J157" s="8">
        <v>111250202</v>
      </c>
      <c r="K157" s="8" t="s">
        <v>47</v>
      </c>
      <c r="L157" s="9">
        <f>1.15*Table1[[#This Row],[القيمة]]</f>
        <v>13931444.999999998</v>
      </c>
      <c r="M157" s="10" t="s">
        <v>664</v>
      </c>
      <c r="N157" s="11">
        <v>12114300</v>
      </c>
      <c r="O157" s="20" t="s">
        <v>631</v>
      </c>
      <c r="P157" s="11" t="s">
        <v>111</v>
      </c>
      <c r="Q157" s="11" t="s">
        <v>665</v>
      </c>
      <c r="R157" s="8" t="s">
        <v>596</v>
      </c>
      <c r="S157" s="10" t="s">
        <v>142</v>
      </c>
      <c r="T157" s="8" t="s">
        <v>60</v>
      </c>
      <c r="U157" s="8" t="s">
        <v>666</v>
      </c>
      <c r="V157" s="8" t="s">
        <v>666</v>
      </c>
      <c r="W157" s="8" t="s">
        <v>87</v>
      </c>
      <c r="X157" s="8" t="s">
        <v>75</v>
      </c>
      <c r="Y157" s="14">
        <v>45872</v>
      </c>
      <c r="Z157" s="14">
        <v>46777</v>
      </c>
      <c r="AA157" s="8"/>
      <c r="AB157" s="10" t="s">
        <v>142</v>
      </c>
      <c r="AC157" s="10" t="s">
        <v>90</v>
      </c>
      <c r="AD157" s="12">
        <f>Table1[[#This Row],[القيمة]]</f>
        <v>12114300</v>
      </c>
      <c r="AE157" s="8" t="s">
        <v>666</v>
      </c>
      <c r="AF157" s="8"/>
      <c r="AG157" s="8"/>
      <c r="AH157" s="8"/>
      <c r="AI157" s="8" t="s">
        <v>114</v>
      </c>
      <c r="AJ157" s="8">
        <v>18.88</v>
      </c>
      <c r="AK157" s="8">
        <v>18.23</v>
      </c>
      <c r="AL157" s="8">
        <v>0.65</v>
      </c>
      <c r="AM157" s="8" t="s">
        <v>87</v>
      </c>
      <c r="AN157" s="8" t="s">
        <v>87</v>
      </c>
      <c r="AO157" s="8">
        <v>0</v>
      </c>
      <c r="AP157" s="8">
        <v>0</v>
      </c>
      <c r="AQ157" s="8"/>
      <c r="AR157" s="8" t="s">
        <v>667</v>
      </c>
      <c r="AS157" s="8">
        <v>0.28999999999999998</v>
      </c>
      <c r="AT157" s="54"/>
      <c r="AU157" s="54"/>
    </row>
    <row r="158" spans="1:47" ht="49.95" customHeight="1" x14ac:dyDescent="0.25">
      <c r="A158" s="8">
        <f>SUBTOTAL(3, $J$2:J158)</f>
        <v>152</v>
      </c>
      <c r="B158" s="8" t="s">
        <v>91</v>
      </c>
      <c r="C158" s="8" t="s">
        <v>47</v>
      </c>
      <c r="D158" s="8">
        <v>43.060544283054412</v>
      </c>
      <c r="E158" s="8">
        <v>18.055090679230851</v>
      </c>
      <c r="F158" s="8">
        <v>179300</v>
      </c>
      <c r="G158" s="8">
        <v>4715</v>
      </c>
      <c r="H158" s="8" t="s">
        <v>680</v>
      </c>
      <c r="I158" s="8" t="s">
        <v>681</v>
      </c>
      <c r="J158" s="8">
        <v>111250158</v>
      </c>
      <c r="K158" s="8" t="s">
        <v>47</v>
      </c>
      <c r="L158" s="9">
        <f>1.15*Table1[[#This Row],[القيمة]]</f>
        <v>73608395</v>
      </c>
      <c r="M158" s="10" t="s">
        <v>682</v>
      </c>
      <c r="N158" s="11">
        <v>64007300</v>
      </c>
      <c r="O158" s="20" t="s">
        <v>683</v>
      </c>
      <c r="P158" s="11" t="s">
        <v>111</v>
      </c>
      <c r="Q158" s="11" t="s">
        <v>665</v>
      </c>
      <c r="R158" s="8" t="s">
        <v>596</v>
      </c>
      <c r="S158" s="10" t="s">
        <v>434</v>
      </c>
      <c r="T158" s="8" t="s">
        <v>60</v>
      </c>
      <c r="U158" s="8" t="s">
        <v>666</v>
      </c>
      <c r="V158" s="8" t="s">
        <v>666</v>
      </c>
      <c r="W158" s="8" t="s">
        <v>105</v>
      </c>
      <c r="X158" s="8" t="s">
        <v>75</v>
      </c>
      <c r="Y158" s="14">
        <v>45868</v>
      </c>
      <c r="Z158" s="14">
        <v>47267</v>
      </c>
      <c r="AA158" s="8"/>
      <c r="AB158" s="10" t="s">
        <v>435</v>
      </c>
      <c r="AC158" s="10" t="s">
        <v>91</v>
      </c>
      <c r="AD158" s="12">
        <f>Table1[[#This Row],[القيمة]]</f>
        <v>64007300</v>
      </c>
      <c r="AE158" s="8" t="s">
        <v>666</v>
      </c>
      <c r="AF158" s="97"/>
      <c r="AG158" s="8"/>
      <c r="AH158" s="8"/>
      <c r="AI158" s="8" t="s">
        <v>114</v>
      </c>
      <c r="AJ158" s="8">
        <v>4.8499999999999996</v>
      </c>
      <c r="AK158" s="8">
        <v>7.89</v>
      </c>
      <c r="AL158" s="8">
        <v>-3.04</v>
      </c>
      <c r="AM158" s="8" t="s">
        <v>105</v>
      </c>
      <c r="AN158" s="8" t="s">
        <v>105</v>
      </c>
      <c r="AO158" s="8">
        <v>0</v>
      </c>
      <c r="AP158" s="8">
        <v>1</v>
      </c>
      <c r="AQ158" s="8"/>
      <c r="AR158" s="8">
        <v>49</v>
      </c>
      <c r="AS158" s="8">
        <v>-1.29</v>
      </c>
      <c r="AT158" s="54"/>
      <c r="AU158" s="54"/>
    </row>
    <row r="159" spans="1:47" ht="49.95" customHeight="1" x14ac:dyDescent="0.25">
      <c r="A159" s="8">
        <f>SUBTOTAL(3, $J$2:J159)</f>
        <v>153</v>
      </c>
      <c r="B159" s="8" t="s">
        <v>126</v>
      </c>
      <c r="C159" s="8" t="s">
        <v>47</v>
      </c>
      <c r="D159" s="8">
        <v>42.509965999999999</v>
      </c>
      <c r="E159" s="8">
        <v>18.068390999999998</v>
      </c>
      <c r="F159" s="8">
        <v>500</v>
      </c>
      <c r="G159" s="8">
        <v>0</v>
      </c>
      <c r="H159" s="8" t="s">
        <v>690</v>
      </c>
      <c r="I159" s="8" t="s">
        <v>691</v>
      </c>
      <c r="J159" s="8">
        <v>111250150</v>
      </c>
      <c r="K159" s="97" t="s">
        <v>47</v>
      </c>
      <c r="L159" s="9">
        <f>1.15*Table1[[#This Row],[القيمة]]</f>
        <v>10804877.324999999</v>
      </c>
      <c r="M159" s="10" t="s">
        <v>692</v>
      </c>
      <c r="N159" s="11">
        <v>9395545.5</v>
      </c>
      <c r="O159" s="20" t="s">
        <v>693</v>
      </c>
      <c r="P159" s="11" t="s">
        <v>96</v>
      </c>
      <c r="Q159" s="11" t="s">
        <v>687</v>
      </c>
      <c r="R159" s="8" t="s">
        <v>596</v>
      </c>
      <c r="S159" s="10" t="s">
        <v>113</v>
      </c>
      <c r="T159" s="8" t="s">
        <v>60</v>
      </c>
      <c r="U159" s="8" t="s">
        <v>694</v>
      </c>
      <c r="V159" s="8" t="s">
        <v>695</v>
      </c>
      <c r="W159" s="8" t="s">
        <v>87</v>
      </c>
      <c r="X159" s="8" t="s">
        <v>75</v>
      </c>
      <c r="Y159" s="14">
        <v>45791</v>
      </c>
      <c r="Z159" s="14">
        <v>46963</v>
      </c>
      <c r="AA159" s="8"/>
      <c r="AB159" s="10" t="s">
        <v>113</v>
      </c>
      <c r="AC159" s="10" t="s">
        <v>91</v>
      </c>
      <c r="AD159" s="12">
        <f>Table1[[#This Row],[القيمة]]</f>
        <v>9395545.5</v>
      </c>
      <c r="AE159" s="8" t="s">
        <v>695</v>
      </c>
      <c r="AF159" s="8"/>
      <c r="AG159" s="8"/>
      <c r="AH159" s="8"/>
      <c r="AI159" s="8" t="s">
        <v>298</v>
      </c>
      <c r="AJ159" s="8">
        <v>4.55</v>
      </c>
      <c r="AK159" s="8">
        <v>0.2</v>
      </c>
      <c r="AL159" s="8">
        <v>4.3499999999999996</v>
      </c>
      <c r="AM159" s="8" t="s">
        <v>87</v>
      </c>
      <c r="AN159" s="8" t="s">
        <v>87</v>
      </c>
      <c r="AO159" s="8">
        <v>0</v>
      </c>
      <c r="AP159" s="8">
        <v>0</v>
      </c>
      <c r="AQ159" s="8"/>
      <c r="AR159" s="8">
        <v>16</v>
      </c>
      <c r="AS159" s="8">
        <v>0.01</v>
      </c>
      <c r="AT159" s="54"/>
      <c r="AU159" s="54"/>
    </row>
    <row r="160" spans="1:47" ht="49.95" customHeight="1" x14ac:dyDescent="0.25">
      <c r="A160" s="8">
        <f>SUBTOTAL(3, $J$2:J160)</f>
        <v>154</v>
      </c>
      <c r="B160" s="8" t="s">
        <v>180</v>
      </c>
      <c r="C160" s="8" t="s">
        <v>47</v>
      </c>
      <c r="D160" s="8">
        <v>42.715679000000002</v>
      </c>
      <c r="E160" s="8">
        <v>18.424598</v>
      </c>
      <c r="F160" s="8">
        <v>65300</v>
      </c>
      <c r="G160" s="8">
        <v>17430</v>
      </c>
      <c r="H160" s="8" t="s">
        <v>696</v>
      </c>
      <c r="I160" s="8" t="s">
        <v>697</v>
      </c>
      <c r="J160" s="8">
        <v>111250119</v>
      </c>
      <c r="K160" s="8" t="s">
        <v>47</v>
      </c>
      <c r="L160" s="9">
        <f>1.15*Table1[[#This Row],[القيمة]]</f>
        <v>47154962.25</v>
      </c>
      <c r="M160" s="10" t="s">
        <v>698</v>
      </c>
      <c r="N160" s="11">
        <v>41004315</v>
      </c>
      <c r="O160" s="20" t="s">
        <v>699</v>
      </c>
      <c r="P160" s="11" t="s">
        <v>96</v>
      </c>
      <c r="Q160" s="11" t="s">
        <v>633</v>
      </c>
      <c r="R160" s="8" t="s">
        <v>596</v>
      </c>
      <c r="S160" s="10" t="s">
        <v>634</v>
      </c>
      <c r="T160" s="8" t="s">
        <v>60</v>
      </c>
      <c r="U160" s="8" t="s">
        <v>597</v>
      </c>
      <c r="V160" s="8" t="s">
        <v>597</v>
      </c>
      <c r="W160" s="8" t="s">
        <v>105</v>
      </c>
      <c r="X160" s="8" t="s">
        <v>75</v>
      </c>
      <c r="Y160" s="14">
        <v>45796</v>
      </c>
      <c r="Z160" s="14">
        <v>46890</v>
      </c>
      <c r="AA160" s="8"/>
      <c r="AB160" s="10" t="s">
        <v>634</v>
      </c>
      <c r="AC160" s="10" t="s">
        <v>90</v>
      </c>
      <c r="AD160" s="12">
        <f>Table1[[#This Row],[القيمة]]</f>
        <v>41004315</v>
      </c>
      <c r="AE160" s="8" t="s">
        <v>597</v>
      </c>
      <c r="AF160" s="97"/>
      <c r="AG160" s="8"/>
      <c r="AH160" s="8"/>
      <c r="AI160" s="8" t="s">
        <v>114</v>
      </c>
      <c r="AJ160" s="8">
        <v>27.09</v>
      </c>
      <c r="AK160" s="8">
        <v>30.53</v>
      </c>
      <c r="AL160" s="8">
        <v>-3.44</v>
      </c>
      <c r="AM160" s="8" t="s">
        <v>105</v>
      </c>
      <c r="AN160" s="8" t="s">
        <v>105</v>
      </c>
      <c r="AO160" s="8">
        <v>0</v>
      </c>
      <c r="AP160" s="8">
        <v>0</v>
      </c>
      <c r="AQ160" s="8"/>
      <c r="AR160" s="8" t="s">
        <v>635</v>
      </c>
      <c r="AS160" s="8">
        <v>-0.13</v>
      </c>
      <c r="AT160" s="54"/>
      <c r="AU160" s="54"/>
    </row>
    <row r="161" spans="1:47" ht="49.95" customHeight="1" x14ac:dyDescent="0.25">
      <c r="A161" s="8">
        <f>SUBTOTAL(3, $J$2:J161)</f>
        <v>155</v>
      </c>
      <c r="B161" s="8" t="s">
        <v>91</v>
      </c>
      <c r="C161" s="8" t="s">
        <v>47</v>
      </c>
      <c r="D161" s="8">
        <v>43.370654999999999</v>
      </c>
      <c r="E161" s="8">
        <v>17.923162999999999</v>
      </c>
      <c r="F161" s="8">
        <v>48625</v>
      </c>
      <c r="G161" s="8">
        <v>20280</v>
      </c>
      <c r="H161" s="8" t="s">
        <v>700</v>
      </c>
      <c r="I161" s="8" t="s">
        <v>701</v>
      </c>
      <c r="J161" s="8">
        <v>111250118</v>
      </c>
      <c r="K161" s="8" t="s">
        <v>47</v>
      </c>
      <c r="L161" s="9">
        <f>1.15*Table1[[#This Row],[القيمة]]</f>
        <v>19530605.25</v>
      </c>
      <c r="M161" s="10" t="s">
        <v>702</v>
      </c>
      <c r="N161" s="11">
        <v>16983135</v>
      </c>
      <c r="O161" s="20" t="s">
        <v>703</v>
      </c>
      <c r="P161" s="11" t="s">
        <v>96</v>
      </c>
      <c r="Q161" s="11" t="s">
        <v>704</v>
      </c>
      <c r="R161" s="8" t="s">
        <v>596</v>
      </c>
      <c r="S161" s="10" t="s">
        <v>147</v>
      </c>
      <c r="T161" s="8" t="s">
        <v>60</v>
      </c>
      <c r="U161" s="8" t="s">
        <v>666</v>
      </c>
      <c r="V161" s="8" t="s">
        <v>666</v>
      </c>
      <c r="W161" s="8" t="s">
        <v>105</v>
      </c>
      <c r="X161" s="8" t="s">
        <v>75</v>
      </c>
      <c r="Y161" s="14">
        <v>45823</v>
      </c>
      <c r="Z161" s="14">
        <v>46917</v>
      </c>
      <c r="AA161" s="8"/>
      <c r="AB161" s="10" t="s">
        <v>147</v>
      </c>
      <c r="AC161" s="10" t="s">
        <v>91</v>
      </c>
      <c r="AD161" s="12">
        <f>Table1[[#This Row],[القيمة]]</f>
        <v>16983135</v>
      </c>
      <c r="AE161" s="8" t="s">
        <v>666</v>
      </c>
      <c r="AF161" s="8"/>
      <c r="AG161" s="8"/>
      <c r="AH161" s="8"/>
      <c r="AI161" s="8" t="s">
        <v>114</v>
      </c>
      <c r="AJ161" s="8">
        <v>13.98</v>
      </c>
      <c r="AK161" s="8">
        <v>29.03</v>
      </c>
      <c r="AL161" s="8">
        <v>-15.05</v>
      </c>
      <c r="AM161" s="8" t="s">
        <v>105</v>
      </c>
      <c r="AN161" s="8" t="s">
        <v>105</v>
      </c>
      <c r="AO161" s="8">
        <v>0</v>
      </c>
      <c r="AP161" s="8">
        <v>1</v>
      </c>
      <c r="AQ161" s="8"/>
      <c r="AR161" s="8">
        <v>32</v>
      </c>
      <c r="AS161" s="8">
        <v>-8.9600000000000009</v>
      </c>
      <c r="AT161" s="54"/>
      <c r="AU161" s="54" t="s">
        <v>47</v>
      </c>
    </row>
    <row r="162" spans="1:47" ht="49.95" customHeight="1" x14ac:dyDescent="0.25">
      <c r="A162" s="8">
        <f>SUBTOTAL(3, $J$2:J162)</f>
        <v>156</v>
      </c>
      <c r="B162" s="8" t="s">
        <v>91</v>
      </c>
      <c r="C162" s="8" t="s">
        <v>47</v>
      </c>
      <c r="D162" s="8">
        <v>42.507694100000002</v>
      </c>
      <c r="E162" s="8">
        <v>18.215680800000001</v>
      </c>
      <c r="F162" s="8">
        <v>0</v>
      </c>
      <c r="G162" s="8">
        <v>0</v>
      </c>
      <c r="H162" s="8" t="s">
        <v>705</v>
      </c>
      <c r="I162" s="8" t="s">
        <v>706</v>
      </c>
      <c r="J162" s="41">
        <v>111250097</v>
      </c>
      <c r="K162" s="8" t="s">
        <v>47</v>
      </c>
      <c r="L162" s="9">
        <f>1.15*Table1[[#This Row],[القيمة]]</f>
        <v>4667729.25</v>
      </c>
      <c r="M162" s="42" t="s">
        <v>707</v>
      </c>
      <c r="N162" s="43">
        <v>4058895</v>
      </c>
      <c r="O162" s="44" t="s">
        <v>708</v>
      </c>
      <c r="P162" s="11" t="s">
        <v>96</v>
      </c>
      <c r="Q162" s="11" t="s">
        <v>131</v>
      </c>
      <c r="R162" s="8" t="s">
        <v>596</v>
      </c>
      <c r="S162" s="42" t="s">
        <v>500</v>
      </c>
      <c r="T162" s="8" t="s">
        <v>60</v>
      </c>
      <c r="U162" s="8" t="s">
        <v>511</v>
      </c>
      <c r="V162" s="41" t="s">
        <v>625</v>
      </c>
      <c r="W162" s="8" t="s">
        <v>105</v>
      </c>
      <c r="X162" s="8" t="s">
        <v>75</v>
      </c>
      <c r="Y162" s="14">
        <v>45763</v>
      </c>
      <c r="Z162" s="14">
        <v>46857</v>
      </c>
      <c r="AA162" s="8"/>
      <c r="AB162" s="10" t="s">
        <v>500</v>
      </c>
      <c r="AC162" s="10" t="s">
        <v>148</v>
      </c>
      <c r="AD162" s="12">
        <f>Table1[[#This Row],[القيمة]]</f>
        <v>4058895</v>
      </c>
      <c r="AE162" s="41" t="s">
        <v>511</v>
      </c>
      <c r="AF162" s="8"/>
      <c r="AG162" s="8" t="s">
        <v>74</v>
      </c>
      <c r="AH162" s="8"/>
      <c r="AI162" s="8" t="s">
        <v>114</v>
      </c>
      <c r="AJ162" s="8">
        <v>15.51</v>
      </c>
      <c r="AK162" s="8">
        <v>19.87</v>
      </c>
      <c r="AL162" s="8">
        <v>-4.3600000000000003</v>
      </c>
      <c r="AM162" s="8" t="s">
        <v>105</v>
      </c>
      <c r="AN162" s="8" t="s">
        <v>105</v>
      </c>
      <c r="AO162" s="8">
        <v>0</v>
      </c>
      <c r="AP162" s="8">
        <v>0</v>
      </c>
      <c r="AQ162" s="8"/>
      <c r="AR162" s="8" t="s">
        <v>635</v>
      </c>
      <c r="AS162" s="8">
        <v>-2.06</v>
      </c>
      <c r="AT162" s="54"/>
      <c r="AU162" s="54"/>
    </row>
    <row r="163" spans="1:47" ht="49.95" customHeight="1" x14ac:dyDescent="0.25">
      <c r="A163" s="8">
        <f>SUBTOTAL(3, $J$2:J163)</f>
        <v>157</v>
      </c>
      <c r="B163" s="8" t="s">
        <v>91</v>
      </c>
      <c r="C163" s="8" t="s">
        <v>47</v>
      </c>
      <c r="D163" s="8">
        <v>42.865093000000002</v>
      </c>
      <c r="E163" s="8">
        <v>18.186108999999998</v>
      </c>
      <c r="F163" s="8">
        <v>44195</v>
      </c>
      <c r="G163" s="8">
        <v>18606</v>
      </c>
      <c r="H163" s="8" t="s">
        <v>709</v>
      </c>
      <c r="I163" s="8" t="s">
        <v>710</v>
      </c>
      <c r="J163" s="41">
        <v>111250056</v>
      </c>
      <c r="K163" s="8" t="s">
        <v>47</v>
      </c>
      <c r="L163" s="9">
        <f>1.15*Table1[[#This Row],[القيمة]]</f>
        <v>20709786.5</v>
      </c>
      <c r="M163" s="42" t="s">
        <v>711</v>
      </c>
      <c r="N163" s="43">
        <v>18008510</v>
      </c>
      <c r="O163" s="44" t="s">
        <v>712</v>
      </c>
      <c r="P163" s="11" t="s">
        <v>96</v>
      </c>
      <c r="Q163" s="11" t="s">
        <v>623</v>
      </c>
      <c r="R163" s="8" t="s">
        <v>596</v>
      </c>
      <c r="S163" s="42" t="s">
        <v>147</v>
      </c>
      <c r="T163" s="8" t="s">
        <v>60</v>
      </c>
      <c r="U163" s="8" t="s">
        <v>689</v>
      </c>
      <c r="V163" s="41" t="s">
        <v>288</v>
      </c>
      <c r="W163" s="8" t="s">
        <v>105</v>
      </c>
      <c r="X163" s="8" t="s">
        <v>75</v>
      </c>
      <c r="Y163" s="14">
        <v>45757</v>
      </c>
      <c r="Z163" s="14">
        <v>46851</v>
      </c>
      <c r="AA163" s="8"/>
      <c r="AB163" s="10" t="s">
        <v>147</v>
      </c>
      <c r="AC163" s="10" t="s">
        <v>91</v>
      </c>
      <c r="AD163" s="12">
        <f>Table1[[#This Row],[القيمة]]</f>
        <v>18008510</v>
      </c>
      <c r="AE163" s="41" t="s">
        <v>689</v>
      </c>
      <c r="AF163" s="8"/>
      <c r="AG163" s="8"/>
      <c r="AH163" s="8"/>
      <c r="AI163" s="8" t="s">
        <v>60</v>
      </c>
      <c r="AJ163" s="8">
        <v>30.7</v>
      </c>
      <c r="AK163" s="8">
        <v>42.12</v>
      </c>
      <c r="AL163" s="8">
        <v>-11.42</v>
      </c>
      <c r="AM163" s="8" t="s">
        <v>105</v>
      </c>
      <c r="AN163" s="8" t="s">
        <v>105</v>
      </c>
      <c r="AO163" s="8">
        <v>0</v>
      </c>
      <c r="AP163" s="8">
        <v>1</v>
      </c>
      <c r="AQ163" s="8"/>
      <c r="AR163" s="8">
        <v>9</v>
      </c>
      <c r="AS163" s="8">
        <v>-7.25</v>
      </c>
      <c r="AT163" s="54"/>
      <c r="AU163" s="54" t="s">
        <v>47</v>
      </c>
    </row>
    <row r="164" spans="1:47" ht="49.95" customHeight="1" x14ac:dyDescent="0.25">
      <c r="A164" s="8">
        <f>SUBTOTAL(3, $J$2:J164)</f>
        <v>158</v>
      </c>
      <c r="B164" s="8" t="s">
        <v>91</v>
      </c>
      <c r="C164" s="8" t="s">
        <v>47</v>
      </c>
      <c r="D164" s="8">
        <v>42.811813999999998</v>
      </c>
      <c r="E164" s="8">
        <v>18.094415000000001</v>
      </c>
      <c r="F164" s="8">
        <v>90190</v>
      </c>
      <c r="G164" s="8">
        <v>25366</v>
      </c>
      <c r="H164" s="8" t="s">
        <v>713</v>
      </c>
      <c r="I164" s="8" t="s">
        <v>714</v>
      </c>
      <c r="J164" s="8">
        <v>111250040</v>
      </c>
      <c r="K164" s="8" t="s">
        <v>47</v>
      </c>
      <c r="L164" s="9">
        <f>1.15*Table1[[#This Row],[القيمة]]</f>
        <v>30865424.999999996</v>
      </c>
      <c r="M164" s="10" t="s">
        <v>715</v>
      </c>
      <c r="N164" s="11">
        <v>26839500</v>
      </c>
      <c r="O164" s="20" t="s">
        <v>716</v>
      </c>
      <c r="P164" s="11" t="s">
        <v>96</v>
      </c>
      <c r="Q164" s="11" t="s">
        <v>623</v>
      </c>
      <c r="R164" s="8" t="s">
        <v>596</v>
      </c>
      <c r="S164" s="10" t="s">
        <v>160</v>
      </c>
      <c r="T164" s="8" t="s">
        <v>60</v>
      </c>
      <c r="U164" s="8" t="s">
        <v>601</v>
      </c>
      <c r="V164" s="8" t="s">
        <v>678</v>
      </c>
      <c r="W164" s="8" t="s">
        <v>105</v>
      </c>
      <c r="X164" s="8" t="s">
        <v>75</v>
      </c>
      <c r="Y164" s="14">
        <v>45769</v>
      </c>
      <c r="Z164" s="14">
        <v>46863</v>
      </c>
      <c r="AA164" s="8"/>
      <c r="AB164" s="10" t="s">
        <v>160</v>
      </c>
      <c r="AC164" s="10" t="s">
        <v>91</v>
      </c>
      <c r="AD164" s="12">
        <f>Table1[[#This Row],[القيمة]]</f>
        <v>26839500</v>
      </c>
      <c r="AE164" s="19" t="s">
        <v>601</v>
      </c>
      <c r="AF164" s="16"/>
      <c r="AG164" s="8"/>
      <c r="AH164" s="8"/>
      <c r="AI164" s="8" t="s">
        <v>114</v>
      </c>
      <c r="AJ164" s="8">
        <v>25.38</v>
      </c>
      <c r="AK164" s="8">
        <v>32.549999999999997</v>
      </c>
      <c r="AL164" s="8">
        <v>-7.17</v>
      </c>
      <c r="AM164" s="8" t="s">
        <v>87</v>
      </c>
      <c r="AN164" s="8" t="s">
        <v>87</v>
      </c>
      <c r="AO164" s="8">
        <v>0</v>
      </c>
      <c r="AP164" s="8">
        <v>0</v>
      </c>
      <c r="AQ164" s="8"/>
      <c r="AR164" s="8" t="s">
        <v>60</v>
      </c>
      <c r="AS164" s="8">
        <v>0.12</v>
      </c>
      <c r="AT164" s="54"/>
      <c r="AU164" s="54"/>
    </row>
    <row r="165" spans="1:47" ht="49.95" customHeight="1" x14ac:dyDescent="0.25">
      <c r="A165" s="8">
        <f>SUBTOTAL(3, $J$2:J165)</f>
        <v>159</v>
      </c>
      <c r="B165" s="8" t="s">
        <v>91</v>
      </c>
      <c r="C165" s="8" t="s">
        <v>47</v>
      </c>
      <c r="D165" s="8">
        <v>42.164700000000003</v>
      </c>
      <c r="E165" s="8">
        <v>19.123633000000002</v>
      </c>
      <c r="F165" s="8">
        <v>9680</v>
      </c>
      <c r="G165" s="8">
        <v>7460</v>
      </c>
      <c r="H165" s="8" t="s">
        <v>721</v>
      </c>
      <c r="I165" s="8" t="s">
        <v>722</v>
      </c>
      <c r="J165" s="8">
        <v>111250013</v>
      </c>
      <c r="K165" s="8" t="s">
        <v>47</v>
      </c>
      <c r="L165" s="9">
        <f>1.15*Table1[[#This Row],[القيمة]]</f>
        <v>40249591.75</v>
      </c>
      <c r="M165" s="10" t="s">
        <v>723</v>
      </c>
      <c r="N165" s="11">
        <v>34999645</v>
      </c>
      <c r="O165" s="20" t="s">
        <v>724</v>
      </c>
      <c r="P165" s="11" t="s">
        <v>96</v>
      </c>
      <c r="Q165" s="11" t="s">
        <v>613</v>
      </c>
      <c r="R165" s="8" t="s">
        <v>596</v>
      </c>
      <c r="S165" s="10" t="s">
        <v>434</v>
      </c>
      <c r="T165" s="8" t="s">
        <v>60</v>
      </c>
      <c r="U165" s="8" t="s">
        <v>614</v>
      </c>
      <c r="V165" s="8" t="s">
        <v>614</v>
      </c>
      <c r="W165" s="8" t="s">
        <v>105</v>
      </c>
      <c r="X165" s="8" t="s">
        <v>75</v>
      </c>
      <c r="Y165" s="14">
        <v>45767</v>
      </c>
      <c r="Z165" s="14">
        <v>46861</v>
      </c>
      <c r="AA165" s="8"/>
      <c r="AB165" s="10" t="s">
        <v>435</v>
      </c>
      <c r="AC165" s="10" t="s">
        <v>91</v>
      </c>
      <c r="AD165" s="12">
        <f>Table1[[#This Row],[القيمة]]</f>
        <v>34999645</v>
      </c>
      <c r="AE165" s="8" t="s">
        <v>614</v>
      </c>
      <c r="AF165" s="16"/>
      <c r="AG165" s="8"/>
      <c r="AH165" s="8"/>
      <c r="AI165" s="8" t="s">
        <v>114</v>
      </c>
      <c r="AJ165" s="8">
        <v>37.29</v>
      </c>
      <c r="AK165" s="8">
        <v>42.93</v>
      </c>
      <c r="AL165" s="8">
        <v>-5.64</v>
      </c>
      <c r="AM165" s="8" t="s">
        <v>105</v>
      </c>
      <c r="AN165" s="8" t="s">
        <v>105</v>
      </c>
      <c r="AO165" s="8">
        <v>0</v>
      </c>
      <c r="AP165" s="8">
        <v>1</v>
      </c>
      <c r="AQ165" s="8"/>
      <c r="AR165" s="8">
        <v>0</v>
      </c>
      <c r="AS165" s="8">
        <v>-6.34</v>
      </c>
      <c r="AT165" s="54"/>
      <c r="AU165" s="54"/>
    </row>
    <row r="166" spans="1:47" ht="49.95" customHeight="1" x14ac:dyDescent="0.25">
      <c r="A166" s="8">
        <f>SUBTOTAL(3, $J$2:J166)</f>
        <v>160</v>
      </c>
      <c r="B166" s="8" t="s">
        <v>126</v>
      </c>
      <c r="C166" s="8" t="s">
        <v>47</v>
      </c>
      <c r="D166" s="8">
        <v>42.100369000000001</v>
      </c>
      <c r="E166" s="8">
        <v>18.444659000000001</v>
      </c>
      <c r="F166" s="8">
        <v>138975</v>
      </c>
      <c r="G166" s="8">
        <v>41560</v>
      </c>
      <c r="H166" s="8" t="s">
        <v>725</v>
      </c>
      <c r="I166" s="8" t="s">
        <v>726</v>
      </c>
      <c r="J166" s="8">
        <v>111240510</v>
      </c>
      <c r="K166" s="8" t="s">
        <v>47</v>
      </c>
      <c r="L166" s="9">
        <f>1.15*Table1[[#This Row],[القيمة]]</f>
        <v>57756325.799999997</v>
      </c>
      <c r="M166" s="10" t="s">
        <v>727</v>
      </c>
      <c r="N166" s="11">
        <v>50222892</v>
      </c>
      <c r="O166" s="20" t="s">
        <v>728</v>
      </c>
      <c r="P166" s="11" t="s">
        <v>96</v>
      </c>
      <c r="Q166" s="11" t="s">
        <v>640</v>
      </c>
      <c r="R166" s="8" t="s">
        <v>596</v>
      </c>
      <c r="S166" s="10" t="s">
        <v>729</v>
      </c>
      <c r="T166" s="8" t="s">
        <v>60</v>
      </c>
      <c r="U166" s="8" t="s">
        <v>608</v>
      </c>
      <c r="V166" s="8" t="s">
        <v>608</v>
      </c>
      <c r="W166" s="8" t="s">
        <v>87</v>
      </c>
      <c r="X166" s="8" t="s">
        <v>75</v>
      </c>
      <c r="Y166" s="14">
        <v>45690</v>
      </c>
      <c r="Z166" s="14">
        <v>47158</v>
      </c>
      <c r="AA166" s="8"/>
      <c r="AB166" s="10" t="s">
        <v>729</v>
      </c>
      <c r="AC166" s="10" t="s">
        <v>91</v>
      </c>
      <c r="AD166" s="12">
        <f>Table1[[#This Row],[القيمة]]</f>
        <v>50222892</v>
      </c>
      <c r="AE166" s="8" t="s">
        <v>608</v>
      </c>
      <c r="AF166" s="8"/>
      <c r="AG166" s="8"/>
      <c r="AH166" s="8"/>
      <c r="AI166" s="8" t="s">
        <v>298</v>
      </c>
      <c r="AJ166" s="8">
        <v>23.84</v>
      </c>
      <c r="AK166" s="8">
        <v>23.5</v>
      </c>
      <c r="AL166" s="8">
        <v>0.34</v>
      </c>
      <c r="AM166" s="8" t="s">
        <v>87</v>
      </c>
      <c r="AN166" s="8" t="s">
        <v>87</v>
      </c>
      <c r="AO166" s="8">
        <v>0</v>
      </c>
      <c r="AP166" s="8">
        <v>1</v>
      </c>
      <c r="AQ166" s="8"/>
      <c r="AR166" s="8">
        <v>62</v>
      </c>
      <c r="AS166" s="8">
        <v>0.42</v>
      </c>
      <c r="AT166" s="54"/>
      <c r="AU166" s="54"/>
    </row>
    <row r="167" spans="1:47" ht="49.95" customHeight="1" x14ac:dyDescent="0.25">
      <c r="A167" s="8">
        <f>SUBTOTAL(3, $J$2:J167)</f>
        <v>161</v>
      </c>
      <c r="B167" s="8" t="s">
        <v>91</v>
      </c>
      <c r="C167" s="8" t="s">
        <v>47</v>
      </c>
      <c r="D167" s="8">
        <v>42.628968</v>
      </c>
      <c r="E167" s="8">
        <v>18.201473</v>
      </c>
      <c r="F167" s="8">
        <v>88817</v>
      </c>
      <c r="G167" s="8">
        <v>20036</v>
      </c>
      <c r="H167" s="8" t="s">
        <v>735</v>
      </c>
      <c r="I167" s="8" t="s">
        <v>736</v>
      </c>
      <c r="J167" s="8">
        <v>111240469</v>
      </c>
      <c r="K167" s="8" t="s">
        <v>47</v>
      </c>
      <c r="L167" s="9">
        <f>1.15*Table1[[#This Row],[القيمة]]</f>
        <v>30999054.999999996</v>
      </c>
      <c r="M167" s="10" t="s">
        <v>737</v>
      </c>
      <c r="N167" s="11">
        <v>26955700</v>
      </c>
      <c r="O167" s="20" t="s">
        <v>738</v>
      </c>
      <c r="P167" s="11" t="s">
        <v>96</v>
      </c>
      <c r="Q167" s="11" t="s">
        <v>687</v>
      </c>
      <c r="R167" s="8" t="s">
        <v>596</v>
      </c>
      <c r="S167" s="10" t="s">
        <v>147</v>
      </c>
      <c r="T167" s="8" t="s">
        <v>60</v>
      </c>
      <c r="U167" s="8" t="s">
        <v>694</v>
      </c>
      <c r="V167" s="8" t="s">
        <v>695</v>
      </c>
      <c r="W167" s="8" t="s">
        <v>87</v>
      </c>
      <c r="X167" s="8" t="s">
        <v>75</v>
      </c>
      <c r="Y167" s="14">
        <v>45650</v>
      </c>
      <c r="Z167" s="14">
        <v>47106</v>
      </c>
      <c r="AA167" s="8"/>
      <c r="AB167" s="10" t="s">
        <v>147</v>
      </c>
      <c r="AC167" s="10" t="s">
        <v>91</v>
      </c>
      <c r="AD167" s="12">
        <f>Table1[[#This Row],[القيمة]]</f>
        <v>26955700</v>
      </c>
      <c r="AE167" s="8" t="s">
        <v>695</v>
      </c>
      <c r="AF167" s="8"/>
      <c r="AG167" s="8"/>
      <c r="AH167" s="8"/>
      <c r="AI167" s="8" t="s">
        <v>60</v>
      </c>
      <c r="AJ167" s="8">
        <v>20.38</v>
      </c>
      <c r="AK167" s="8">
        <v>16.87</v>
      </c>
      <c r="AL167" s="8">
        <v>3.51</v>
      </c>
      <c r="AM167" s="8" t="s">
        <v>87</v>
      </c>
      <c r="AN167" s="8" t="s">
        <v>87</v>
      </c>
      <c r="AO167" s="8">
        <v>0</v>
      </c>
      <c r="AP167" s="8">
        <v>0</v>
      </c>
      <c r="AQ167" s="8"/>
      <c r="AR167" s="8">
        <v>17</v>
      </c>
      <c r="AS167" s="8">
        <v>0.98</v>
      </c>
      <c r="AT167" s="54"/>
      <c r="AU167" s="54" t="s">
        <v>47</v>
      </c>
    </row>
    <row r="168" spans="1:47" ht="49.95" customHeight="1" x14ac:dyDescent="0.25">
      <c r="A168" s="8">
        <f>SUBTOTAL(3, $J$2:J168)</f>
        <v>162</v>
      </c>
      <c r="B168" s="8" t="s">
        <v>126</v>
      </c>
      <c r="C168" s="8" t="s">
        <v>47</v>
      </c>
      <c r="D168" s="8">
        <v>42.507694100000002</v>
      </c>
      <c r="E168" s="8">
        <v>18.215680800000001</v>
      </c>
      <c r="F168" s="8">
        <v>17500</v>
      </c>
      <c r="G168" s="8">
        <v>4330</v>
      </c>
      <c r="H168" s="8" t="s">
        <v>739</v>
      </c>
      <c r="I168" s="8" t="s">
        <v>740</v>
      </c>
      <c r="J168" s="8">
        <v>111240439</v>
      </c>
      <c r="K168" s="8" t="s">
        <v>47</v>
      </c>
      <c r="L168" s="9">
        <f>1.15*Table1[[#This Row],[القيمة]]</f>
        <v>5225140</v>
      </c>
      <c r="M168" s="10" t="s">
        <v>741</v>
      </c>
      <c r="N168" s="11">
        <v>4543600</v>
      </c>
      <c r="O168" s="20" t="s">
        <v>742</v>
      </c>
      <c r="P168" s="11" t="s">
        <v>96</v>
      </c>
      <c r="Q168" s="11" t="s">
        <v>131</v>
      </c>
      <c r="R168" s="8" t="s">
        <v>596</v>
      </c>
      <c r="S168" s="10" t="s">
        <v>147</v>
      </c>
      <c r="T168" s="8" t="s">
        <v>60</v>
      </c>
      <c r="U168" s="8" t="s">
        <v>511</v>
      </c>
      <c r="V168" s="8" t="s">
        <v>511</v>
      </c>
      <c r="W168" s="8" t="s">
        <v>87</v>
      </c>
      <c r="X168" s="8" t="s">
        <v>75</v>
      </c>
      <c r="Y168" s="14">
        <v>45638</v>
      </c>
      <c r="Z168" s="14">
        <v>46772</v>
      </c>
      <c r="AA168" s="8"/>
      <c r="AB168" s="10" t="s">
        <v>147</v>
      </c>
      <c r="AC168" s="10" t="s">
        <v>91</v>
      </c>
      <c r="AD168" s="12">
        <f>Table1[[#This Row],[القيمة]]</f>
        <v>4543600</v>
      </c>
      <c r="AE168" s="8" t="s">
        <v>511</v>
      </c>
      <c r="AF168" s="8"/>
      <c r="AG168" s="8"/>
      <c r="AH168" s="8"/>
      <c r="AI168" s="8" t="s">
        <v>133</v>
      </c>
      <c r="AJ168" s="8">
        <v>23.39</v>
      </c>
      <c r="AK168" s="8">
        <v>21</v>
      </c>
      <c r="AL168" s="8">
        <v>2.39</v>
      </c>
      <c r="AM168" s="8" t="s">
        <v>87</v>
      </c>
      <c r="AN168" s="8" t="s">
        <v>87</v>
      </c>
      <c r="AO168" s="8">
        <v>0</v>
      </c>
      <c r="AP168" s="8">
        <v>0</v>
      </c>
      <c r="AQ168" s="8"/>
      <c r="AR168" s="8">
        <v>0</v>
      </c>
      <c r="AS168" s="8">
        <v>0.41</v>
      </c>
      <c r="AT168" s="54"/>
      <c r="AU168" s="54"/>
    </row>
    <row r="169" spans="1:47" ht="49.95" customHeight="1" x14ac:dyDescent="0.25">
      <c r="A169" s="8">
        <f>SUBTOTAL(3, $J$2:J169)</f>
        <v>163</v>
      </c>
      <c r="B169" s="8" t="s">
        <v>91</v>
      </c>
      <c r="C169" s="8" t="s">
        <v>47</v>
      </c>
      <c r="D169" s="8">
        <v>42.257418999999999</v>
      </c>
      <c r="E169" s="8">
        <v>18.260121000000002</v>
      </c>
      <c r="F169" s="8">
        <v>82000</v>
      </c>
      <c r="G169" s="8">
        <v>26387</v>
      </c>
      <c r="H169" s="8" t="s">
        <v>743</v>
      </c>
      <c r="I169" s="8" t="s">
        <v>744</v>
      </c>
      <c r="J169" s="8">
        <v>111240414</v>
      </c>
      <c r="K169" s="8" t="s">
        <v>47</v>
      </c>
      <c r="L169" s="9">
        <f>1.15*Table1[[#This Row],[القيمة]]</f>
        <v>43700000</v>
      </c>
      <c r="M169" s="10" t="s">
        <v>745</v>
      </c>
      <c r="N169" s="11">
        <v>38000000</v>
      </c>
      <c r="O169" s="20" t="s">
        <v>746</v>
      </c>
      <c r="P169" s="11" t="s">
        <v>96</v>
      </c>
      <c r="Q169" s="11" t="s">
        <v>607</v>
      </c>
      <c r="R169" s="8" t="s">
        <v>596</v>
      </c>
      <c r="S169" s="10" t="s">
        <v>747</v>
      </c>
      <c r="T169" s="8" t="s">
        <v>60</v>
      </c>
      <c r="U169" s="8" t="s">
        <v>608</v>
      </c>
      <c r="V169" s="8" t="s">
        <v>608</v>
      </c>
      <c r="W169" s="8" t="s">
        <v>87</v>
      </c>
      <c r="X169" s="8" t="s">
        <v>75</v>
      </c>
      <c r="Y169" s="14">
        <v>45616</v>
      </c>
      <c r="Z169" s="14">
        <v>47090</v>
      </c>
      <c r="AA169" s="8"/>
      <c r="AB169" s="10" t="s">
        <v>748</v>
      </c>
      <c r="AC169" s="10" t="s">
        <v>91</v>
      </c>
      <c r="AD169" s="12">
        <f>Table1[[#This Row],[القيمة]]</f>
        <v>38000000</v>
      </c>
      <c r="AE169" s="8" t="s">
        <v>608</v>
      </c>
      <c r="AF169" s="8"/>
      <c r="AG169" s="8"/>
      <c r="AH169" s="8"/>
      <c r="AI169" s="8"/>
      <c r="AJ169" s="8">
        <v>30.46</v>
      </c>
      <c r="AK169" s="8">
        <v>29.81</v>
      </c>
      <c r="AL169" s="8">
        <v>0.65</v>
      </c>
      <c r="AM169" s="8" t="s">
        <v>87</v>
      </c>
      <c r="AN169" s="8" t="s">
        <v>87</v>
      </c>
      <c r="AO169" s="8">
        <v>0</v>
      </c>
      <c r="AP169" s="8">
        <v>0</v>
      </c>
      <c r="AQ169" s="8"/>
      <c r="AR169" s="8">
        <v>58</v>
      </c>
      <c r="AS169" s="8">
        <v>0.52</v>
      </c>
      <c r="AT169" s="54"/>
      <c r="AU169" s="54"/>
    </row>
    <row r="170" spans="1:47" ht="49.95" customHeight="1" x14ac:dyDescent="0.25">
      <c r="A170" s="8">
        <f>SUBTOTAL(3, $J$2:J170)</f>
        <v>164</v>
      </c>
      <c r="B170" s="8" t="s">
        <v>91</v>
      </c>
      <c r="C170" s="8" t="s">
        <v>47</v>
      </c>
      <c r="D170" s="8">
        <v>42.651806999999998</v>
      </c>
      <c r="E170" s="8">
        <v>18.310269999999999</v>
      </c>
      <c r="F170" s="8">
        <v>140710</v>
      </c>
      <c r="G170" s="8">
        <v>34889</v>
      </c>
      <c r="H170" s="8" t="s">
        <v>749</v>
      </c>
      <c r="I170" s="8" t="s">
        <v>750</v>
      </c>
      <c r="J170" s="8">
        <v>111240411</v>
      </c>
      <c r="K170" s="8" t="s">
        <v>47</v>
      </c>
      <c r="L170" s="9">
        <f>1.15*Table1[[#This Row],[القيمة]]</f>
        <v>64260274.999999993</v>
      </c>
      <c r="M170" s="10" t="s">
        <v>751</v>
      </c>
      <c r="N170" s="11">
        <v>55878500</v>
      </c>
      <c r="O170" s="20" t="s">
        <v>752</v>
      </c>
      <c r="P170" s="11" t="s">
        <v>96</v>
      </c>
      <c r="Q170" s="11" t="s">
        <v>687</v>
      </c>
      <c r="R170" s="8" t="s">
        <v>596</v>
      </c>
      <c r="S170" s="10" t="s">
        <v>497</v>
      </c>
      <c r="T170" s="8" t="s">
        <v>60</v>
      </c>
      <c r="U170" s="8" t="s">
        <v>694</v>
      </c>
      <c r="V170" s="8" t="s">
        <v>695</v>
      </c>
      <c r="W170" s="8" t="s">
        <v>87</v>
      </c>
      <c r="X170" s="8" t="s">
        <v>75</v>
      </c>
      <c r="Y170" s="14">
        <v>45627</v>
      </c>
      <c r="Z170" s="14">
        <v>47121</v>
      </c>
      <c r="AA170" s="8"/>
      <c r="AB170" s="10" t="s">
        <v>498</v>
      </c>
      <c r="AC170" s="10" t="s">
        <v>91</v>
      </c>
      <c r="AD170" s="12">
        <f>Table1[[#This Row],[القيمة]]</f>
        <v>55878500</v>
      </c>
      <c r="AE170" s="8" t="s">
        <v>695</v>
      </c>
      <c r="AF170" s="8"/>
      <c r="AG170" s="8"/>
      <c r="AH170" s="8"/>
      <c r="AI170" s="8" t="s">
        <v>60</v>
      </c>
      <c r="AJ170" s="8">
        <v>12.01</v>
      </c>
      <c r="AK170" s="8">
        <v>10.1</v>
      </c>
      <c r="AL170" s="8">
        <v>1.91</v>
      </c>
      <c r="AM170" s="8" t="s">
        <v>87</v>
      </c>
      <c r="AN170" s="8" t="s">
        <v>87</v>
      </c>
      <c r="AO170" s="8">
        <v>0</v>
      </c>
      <c r="AP170" s="8">
        <v>0</v>
      </c>
      <c r="AQ170" s="8"/>
      <c r="AR170" s="8">
        <v>22</v>
      </c>
      <c r="AS170" s="8">
        <v>1.19</v>
      </c>
      <c r="AT170" s="54"/>
      <c r="AU170" s="54" t="s">
        <v>47</v>
      </c>
    </row>
    <row r="171" spans="1:47" ht="49.95" customHeight="1" x14ac:dyDescent="0.25">
      <c r="A171" s="8">
        <f>SUBTOTAL(3, $J$2:J171)</f>
        <v>165</v>
      </c>
      <c r="B171" s="8" t="s">
        <v>44</v>
      </c>
      <c r="C171" s="8" t="s">
        <v>47</v>
      </c>
      <c r="D171" s="8">
        <v>41.954887999999997</v>
      </c>
      <c r="E171" s="8">
        <v>19.592942000000001</v>
      </c>
      <c r="F171" s="8">
        <v>65000</v>
      </c>
      <c r="G171" s="8">
        <v>14367</v>
      </c>
      <c r="H171" s="8" t="s">
        <v>753</v>
      </c>
      <c r="I171" s="8" t="s">
        <v>754</v>
      </c>
      <c r="J171" s="8">
        <v>111240389</v>
      </c>
      <c r="K171" s="8" t="s">
        <v>47</v>
      </c>
      <c r="L171" s="9">
        <f>1.15*Table1[[#This Row],[القيمة]]</f>
        <v>60570440.199999996</v>
      </c>
      <c r="M171" s="10" t="s">
        <v>755</v>
      </c>
      <c r="N171" s="11">
        <v>52669948</v>
      </c>
      <c r="O171" s="20" t="s">
        <v>756</v>
      </c>
      <c r="P171" s="11" t="s">
        <v>96</v>
      </c>
      <c r="Q171" s="11" t="s">
        <v>757</v>
      </c>
      <c r="R171" s="8" t="s">
        <v>596</v>
      </c>
      <c r="S171" s="10" t="s">
        <v>98</v>
      </c>
      <c r="T171" s="8" t="s">
        <v>60</v>
      </c>
      <c r="U171" s="8" t="s">
        <v>758</v>
      </c>
      <c r="V171" s="8" t="s">
        <v>758</v>
      </c>
      <c r="W171" s="8" t="s">
        <v>105</v>
      </c>
      <c r="X171" s="8" t="s">
        <v>75</v>
      </c>
      <c r="Y171" s="14">
        <v>45617</v>
      </c>
      <c r="Z171" s="14">
        <v>47116</v>
      </c>
      <c r="AA171" s="8"/>
      <c r="AB171" s="10" t="s">
        <v>59</v>
      </c>
      <c r="AC171" s="10" t="s">
        <v>90</v>
      </c>
      <c r="AD171" s="12">
        <f>Table1[[#This Row],[القيمة]]</f>
        <v>52669948</v>
      </c>
      <c r="AE171" s="8" t="s">
        <v>758</v>
      </c>
      <c r="AF171" s="8"/>
      <c r="AG171" s="8"/>
      <c r="AH171" s="8"/>
      <c r="AI171" s="8" t="s">
        <v>114</v>
      </c>
      <c r="AJ171" s="8">
        <v>16.57</v>
      </c>
      <c r="AK171" s="8">
        <v>17.89</v>
      </c>
      <c r="AL171" s="8">
        <v>-1.32</v>
      </c>
      <c r="AM171" s="8" t="s">
        <v>105</v>
      </c>
      <c r="AN171" s="8" t="s">
        <v>105</v>
      </c>
      <c r="AO171" s="8">
        <v>0</v>
      </c>
      <c r="AP171" s="8">
        <v>2</v>
      </c>
      <c r="AQ171" s="8"/>
      <c r="AR171" s="8">
        <v>1549</v>
      </c>
      <c r="AS171" s="8">
        <v>-1.46</v>
      </c>
      <c r="AT171" s="54"/>
      <c r="AU171" s="54"/>
    </row>
    <row r="172" spans="1:47" ht="49.95" customHeight="1" x14ac:dyDescent="0.25">
      <c r="A172" s="8">
        <f>SUBTOTAL(3, $J$2:J172)</f>
        <v>166</v>
      </c>
      <c r="B172" s="8" t="s">
        <v>91</v>
      </c>
      <c r="C172" s="8" t="s">
        <v>47</v>
      </c>
      <c r="D172" s="8">
        <v>42.572636000000003</v>
      </c>
      <c r="E172" s="8">
        <v>18.26023</v>
      </c>
      <c r="F172" s="8">
        <v>143545</v>
      </c>
      <c r="G172" s="8">
        <v>19196</v>
      </c>
      <c r="H172" s="8" t="s">
        <v>759</v>
      </c>
      <c r="I172" s="8" t="s">
        <v>760</v>
      </c>
      <c r="J172" s="8">
        <v>111240377</v>
      </c>
      <c r="K172" s="8" t="s">
        <v>47</v>
      </c>
      <c r="L172" s="9">
        <f>1.15*Table1[[#This Row],[القيمة]]</f>
        <v>57188637.499999993</v>
      </c>
      <c r="M172" s="10" t="s">
        <v>761</v>
      </c>
      <c r="N172" s="11">
        <v>49729250</v>
      </c>
      <c r="O172" s="20" t="s">
        <v>762</v>
      </c>
      <c r="P172" s="11" t="s">
        <v>96</v>
      </c>
      <c r="Q172" s="11" t="s">
        <v>687</v>
      </c>
      <c r="R172" s="8" t="s">
        <v>596</v>
      </c>
      <c r="S172" s="10" t="s">
        <v>497</v>
      </c>
      <c r="T172" s="8" t="s">
        <v>60</v>
      </c>
      <c r="U172" s="8" t="s">
        <v>694</v>
      </c>
      <c r="V172" s="8" t="s">
        <v>695</v>
      </c>
      <c r="W172" s="8" t="s">
        <v>105</v>
      </c>
      <c r="X172" s="8" t="s">
        <v>75</v>
      </c>
      <c r="Y172" s="14">
        <v>45607</v>
      </c>
      <c r="Z172" s="14">
        <v>47085</v>
      </c>
      <c r="AA172" s="8"/>
      <c r="AB172" s="10" t="s">
        <v>498</v>
      </c>
      <c r="AC172" s="10" t="s">
        <v>91</v>
      </c>
      <c r="AD172" s="12">
        <f>Table1[[#This Row],[القيمة]]</f>
        <v>49729250</v>
      </c>
      <c r="AE172" s="8" t="s">
        <v>695</v>
      </c>
      <c r="AF172" s="8"/>
      <c r="AG172" s="8"/>
      <c r="AH172" s="8"/>
      <c r="AI172" s="8" t="s">
        <v>60</v>
      </c>
      <c r="AJ172" s="8">
        <v>7.26</v>
      </c>
      <c r="AK172" s="8">
        <v>7.5</v>
      </c>
      <c r="AL172" s="8">
        <v>-0.24</v>
      </c>
      <c r="AM172" s="8" t="s">
        <v>87</v>
      </c>
      <c r="AN172" s="8" t="s">
        <v>87</v>
      </c>
      <c r="AO172" s="8">
        <v>0</v>
      </c>
      <c r="AP172" s="8">
        <v>0</v>
      </c>
      <c r="AQ172" s="8"/>
      <c r="AR172" s="8" t="s">
        <v>230</v>
      </c>
      <c r="AS172" s="8">
        <v>0.13</v>
      </c>
      <c r="AT172" s="54"/>
      <c r="AU172" s="54" t="s">
        <v>47</v>
      </c>
    </row>
    <row r="173" spans="1:47" ht="49.95" customHeight="1" x14ac:dyDescent="0.25">
      <c r="A173" s="8">
        <f>SUBTOTAL(3, $J$2:J173)</f>
        <v>167</v>
      </c>
      <c r="B173" s="8" t="s">
        <v>19</v>
      </c>
      <c r="C173" s="8" t="s">
        <v>55</v>
      </c>
      <c r="D173" s="8">
        <v>42.507694100000002</v>
      </c>
      <c r="E173" s="8">
        <v>18.215680800000001</v>
      </c>
      <c r="F173" s="8">
        <v>19760</v>
      </c>
      <c r="G173" s="8">
        <v>19720</v>
      </c>
      <c r="H173" s="8" t="s">
        <v>763</v>
      </c>
      <c r="I173" s="8" t="s">
        <v>764</v>
      </c>
      <c r="J173" s="8">
        <v>111240368</v>
      </c>
      <c r="K173" s="8" t="s">
        <v>47</v>
      </c>
      <c r="L173" s="9">
        <f>1.15*Table1[[#This Row],[القيمة]]</f>
        <v>22013150.5</v>
      </c>
      <c r="M173" s="10" t="s">
        <v>765</v>
      </c>
      <c r="N173" s="11">
        <v>19141870</v>
      </c>
      <c r="O173" s="20" t="s">
        <v>766</v>
      </c>
      <c r="P173" s="11" t="s">
        <v>96</v>
      </c>
      <c r="Q173" s="11" t="s">
        <v>131</v>
      </c>
      <c r="R173" s="8" t="s">
        <v>596</v>
      </c>
      <c r="S173" s="10" t="s">
        <v>552</v>
      </c>
      <c r="T173" s="8" t="s">
        <v>133</v>
      </c>
      <c r="U173" s="8" t="s">
        <v>608</v>
      </c>
      <c r="V173" s="8" t="s">
        <v>608</v>
      </c>
      <c r="W173" s="8" t="s">
        <v>175</v>
      </c>
      <c r="X173" s="8" t="s">
        <v>75</v>
      </c>
      <c r="Y173" s="14">
        <v>45616</v>
      </c>
      <c r="Z173" s="14">
        <v>46255</v>
      </c>
      <c r="AA173" s="8"/>
      <c r="AB173" s="10" t="s">
        <v>552</v>
      </c>
      <c r="AC173" s="10" t="s">
        <v>91</v>
      </c>
      <c r="AD173" s="12">
        <f>Table1[[#This Row],[القيمة]]</f>
        <v>19141870</v>
      </c>
      <c r="AE173" s="8" t="s">
        <v>608</v>
      </c>
      <c r="AF173" s="16"/>
      <c r="AG173" s="8" t="s">
        <v>79</v>
      </c>
      <c r="AH173" s="8" t="s">
        <v>288</v>
      </c>
      <c r="AI173" s="8" t="s">
        <v>114</v>
      </c>
      <c r="AJ173" s="8">
        <v>100</v>
      </c>
      <c r="AK173" s="8">
        <v>75.87</v>
      </c>
      <c r="AL173" s="8">
        <v>24.13</v>
      </c>
      <c r="AM173" s="8" t="s">
        <v>175</v>
      </c>
      <c r="AN173" s="8" t="s">
        <v>175</v>
      </c>
      <c r="AO173" s="8">
        <v>0</v>
      </c>
      <c r="AP173" s="8">
        <v>0</v>
      </c>
      <c r="AQ173" s="8"/>
      <c r="AR173" s="8">
        <v>33</v>
      </c>
      <c r="AS173" s="8">
        <v>24.15</v>
      </c>
      <c r="AT173" s="54"/>
      <c r="AU173" s="54"/>
    </row>
    <row r="174" spans="1:47" ht="49.95" customHeight="1" x14ac:dyDescent="0.25">
      <c r="A174" s="8">
        <f>SUBTOTAL(3, $J$2:J174)</f>
        <v>168</v>
      </c>
      <c r="B174" s="8" t="s">
        <v>44</v>
      </c>
      <c r="C174" s="8" t="s">
        <v>47</v>
      </c>
      <c r="D174" s="8">
        <v>42.695228</v>
      </c>
      <c r="E174" s="8">
        <v>18.236279</v>
      </c>
      <c r="F174" s="8">
        <v>166580</v>
      </c>
      <c r="G174" s="8">
        <v>19600</v>
      </c>
      <c r="H174" s="8" t="s">
        <v>767</v>
      </c>
      <c r="I174" s="8" t="s">
        <v>768</v>
      </c>
      <c r="J174" s="8">
        <v>111240365</v>
      </c>
      <c r="K174" s="8" t="s">
        <v>47</v>
      </c>
      <c r="L174" s="9">
        <f>1.15*Table1[[#This Row],[القيمة]]</f>
        <v>48453284.649999999</v>
      </c>
      <c r="M174" s="10" t="s">
        <v>769</v>
      </c>
      <c r="N174" s="11">
        <v>42133291</v>
      </c>
      <c r="O174" s="20" t="s">
        <v>770</v>
      </c>
      <c r="P174" s="11" t="s">
        <v>96</v>
      </c>
      <c r="Q174" s="11" t="s">
        <v>633</v>
      </c>
      <c r="R174" s="8" t="s">
        <v>596</v>
      </c>
      <c r="S174" s="10" t="s">
        <v>497</v>
      </c>
      <c r="T174" s="8" t="s">
        <v>60</v>
      </c>
      <c r="U174" s="8" t="s">
        <v>689</v>
      </c>
      <c r="V174" s="8" t="s">
        <v>689</v>
      </c>
      <c r="W174" s="8" t="s">
        <v>87</v>
      </c>
      <c r="X174" s="8" t="s">
        <v>75</v>
      </c>
      <c r="Y174" s="14">
        <v>45587</v>
      </c>
      <c r="Z174" s="14">
        <v>47067</v>
      </c>
      <c r="AA174" s="8"/>
      <c r="AB174" s="10" t="s">
        <v>498</v>
      </c>
      <c r="AC174" s="10" t="s">
        <v>91</v>
      </c>
      <c r="AD174" s="12">
        <f>Table1[[#This Row],[القيمة]]</f>
        <v>42133291</v>
      </c>
      <c r="AE174" s="8" t="s">
        <v>689</v>
      </c>
      <c r="AF174" s="8"/>
      <c r="AG174" s="8"/>
      <c r="AH174" s="8"/>
      <c r="AI174" s="8" t="s">
        <v>60</v>
      </c>
      <c r="AJ174" s="8">
        <v>10.34</v>
      </c>
      <c r="AK174" s="8">
        <v>9.3000000000000007</v>
      </c>
      <c r="AL174" s="8">
        <v>1.04</v>
      </c>
      <c r="AM174" s="8" t="s">
        <v>87</v>
      </c>
      <c r="AN174" s="8" t="s">
        <v>87</v>
      </c>
      <c r="AO174" s="8">
        <v>0</v>
      </c>
      <c r="AP174" s="8">
        <v>0</v>
      </c>
      <c r="AQ174" s="8"/>
      <c r="AR174" s="8" t="s">
        <v>230</v>
      </c>
      <c r="AS174" s="8">
        <v>1.1399999999999999</v>
      </c>
      <c r="AT174" s="54"/>
      <c r="AU174" s="54" t="s">
        <v>47</v>
      </c>
    </row>
    <row r="175" spans="1:47" ht="49.95" customHeight="1" x14ac:dyDescent="0.25">
      <c r="A175" s="8">
        <f>SUBTOTAL(3, $J$2:J175)</f>
        <v>169</v>
      </c>
      <c r="B175" s="8" t="s">
        <v>126</v>
      </c>
      <c r="C175" s="8" t="s">
        <v>47</v>
      </c>
      <c r="D175" s="8">
        <v>41.530279999999998</v>
      </c>
      <c r="E175" s="8">
        <v>18.233843</v>
      </c>
      <c r="F175" s="8">
        <v>9500</v>
      </c>
      <c r="G175" s="8">
        <v>7000</v>
      </c>
      <c r="H175" s="8" t="s">
        <v>771</v>
      </c>
      <c r="I175" s="8" t="s">
        <v>772</v>
      </c>
      <c r="J175" s="8">
        <v>111240355</v>
      </c>
      <c r="K175" s="8" t="s">
        <v>47</v>
      </c>
      <c r="L175" s="9">
        <f>1.15*Table1[[#This Row],[القيمة]]</f>
        <v>10859197</v>
      </c>
      <c r="M175" s="10" t="s">
        <v>773</v>
      </c>
      <c r="N175" s="11">
        <v>9442780</v>
      </c>
      <c r="O175" s="20" t="s">
        <v>774</v>
      </c>
      <c r="P175" s="11" t="s">
        <v>96</v>
      </c>
      <c r="Q175" s="11" t="s">
        <v>661</v>
      </c>
      <c r="R175" s="8" t="s">
        <v>596</v>
      </c>
      <c r="S175" s="10" t="s">
        <v>775</v>
      </c>
      <c r="T175" s="8" t="s">
        <v>60</v>
      </c>
      <c r="U175" s="8" t="s">
        <v>608</v>
      </c>
      <c r="V175" s="8" t="s">
        <v>608</v>
      </c>
      <c r="W175" s="8" t="s">
        <v>87</v>
      </c>
      <c r="X175" s="8" t="s">
        <v>75</v>
      </c>
      <c r="Y175" s="14">
        <v>45624</v>
      </c>
      <c r="Z175" s="14">
        <v>46776</v>
      </c>
      <c r="AA175" s="8"/>
      <c r="AB175" s="10" t="s">
        <v>776</v>
      </c>
      <c r="AC175" s="10" t="s">
        <v>91</v>
      </c>
      <c r="AD175" s="12">
        <f>Table1[[#This Row],[القيمة]]</f>
        <v>9442780</v>
      </c>
      <c r="AE175" s="8" t="s">
        <v>608</v>
      </c>
      <c r="AF175" s="8"/>
      <c r="AG175" s="8"/>
      <c r="AH175" s="8"/>
      <c r="AI175" s="8" t="s">
        <v>298</v>
      </c>
      <c r="AJ175" s="8">
        <v>31.59</v>
      </c>
      <c r="AK175" s="8">
        <v>29.59</v>
      </c>
      <c r="AL175" s="8">
        <v>2</v>
      </c>
      <c r="AM175" s="8" t="s">
        <v>87</v>
      </c>
      <c r="AN175" s="8" t="s">
        <v>87</v>
      </c>
      <c r="AO175" s="8">
        <v>0</v>
      </c>
      <c r="AP175" s="8">
        <v>1</v>
      </c>
      <c r="AQ175" s="8"/>
      <c r="AR175" s="8">
        <v>33</v>
      </c>
      <c r="AS175" s="8">
        <v>0.71</v>
      </c>
      <c r="AT175" s="54"/>
      <c r="AU175" s="54"/>
    </row>
    <row r="176" spans="1:47" ht="49.95" customHeight="1" x14ac:dyDescent="0.25">
      <c r="A176" s="8">
        <f>SUBTOTAL(3, $J$2:J176)</f>
        <v>170</v>
      </c>
      <c r="B176" s="8" t="s">
        <v>180</v>
      </c>
      <c r="C176" s="8" t="s">
        <v>47</v>
      </c>
      <c r="D176" s="8">
        <v>42.522675999999997</v>
      </c>
      <c r="E176" s="8">
        <v>18.360106999999999</v>
      </c>
      <c r="F176" s="8">
        <v>80900</v>
      </c>
      <c r="G176" s="8">
        <v>7149</v>
      </c>
      <c r="H176" s="8" t="s">
        <v>777</v>
      </c>
      <c r="I176" s="8" t="s">
        <v>778</v>
      </c>
      <c r="J176" s="8">
        <v>111240349</v>
      </c>
      <c r="K176" s="8" t="s">
        <v>47</v>
      </c>
      <c r="L176" s="9">
        <f>1.15*Table1[[#This Row],[القيمة]]</f>
        <v>81916225</v>
      </c>
      <c r="M176" s="10" t="s">
        <v>779</v>
      </c>
      <c r="N176" s="11">
        <v>71231500</v>
      </c>
      <c r="O176" s="20" t="s">
        <v>780</v>
      </c>
      <c r="P176" s="11" t="s">
        <v>96</v>
      </c>
      <c r="Q176" s="11" t="s">
        <v>687</v>
      </c>
      <c r="R176" s="8" t="s">
        <v>596</v>
      </c>
      <c r="S176" s="10" t="s">
        <v>194</v>
      </c>
      <c r="T176" s="8" t="s">
        <v>60</v>
      </c>
      <c r="U176" s="8" t="s">
        <v>511</v>
      </c>
      <c r="V176" s="8" t="s">
        <v>511</v>
      </c>
      <c r="W176" s="8" t="s">
        <v>105</v>
      </c>
      <c r="X176" s="8" t="s">
        <v>75</v>
      </c>
      <c r="Y176" s="14">
        <v>45578</v>
      </c>
      <c r="Z176" s="14">
        <v>46892</v>
      </c>
      <c r="AA176" s="8"/>
      <c r="AB176" s="10" t="s">
        <v>195</v>
      </c>
      <c r="AC176" s="10" t="s">
        <v>90</v>
      </c>
      <c r="AD176" s="12">
        <f>Table1[[#This Row],[القيمة]]</f>
        <v>71231500</v>
      </c>
      <c r="AE176" s="8" t="s">
        <v>511</v>
      </c>
      <c r="AF176" s="8"/>
      <c r="AG176" s="8"/>
      <c r="AH176" s="8"/>
      <c r="AI176" s="8" t="s">
        <v>60</v>
      </c>
      <c r="AJ176" s="8">
        <v>6.39</v>
      </c>
      <c r="AK176" s="8">
        <v>6.5</v>
      </c>
      <c r="AL176" s="8">
        <v>-0.11</v>
      </c>
      <c r="AM176" s="8" t="s">
        <v>87</v>
      </c>
      <c r="AN176" s="8" t="s">
        <v>87</v>
      </c>
      <c r="AO176" s="8">
        <v>0</v>
      </c>
      <c r="AP176" s="8">
        <v>4</v>
      </c>
      <c r="AQ176" s="8"/>
      <c r="AR176" s="8">
        <v>48</v>
      </c>
      <c r="AS176" s="8">
        <v>0.57999999999999996</v>
      </c>
      <c r="AT176" s="54"/>
      <c r="AU176" s="54"/>
    </row>
    <row r="177" spans="1:47" ht="49.95" customHeight="1" x14ac:dyDescent="0.25">
      <c r="A177" s="8">
        <f>SUBTOTAL(3, $J$2:J177)</f>
        <v>171</v>
      </c>
      <c r="B177" s="8" t="s">
        <v>91</v>
      </c>
      <c r="C177" s="8" t="s">
        <v>47</v>
      </c>
      <c r="D177" s="8">
        <v>42.125920000000001</v>
      </c>
      <c r="E177" s="8">
        <v>19.127755000000001</v>
      </c>
      <c r="F177" s="8">
        <v>113400</v>
      </c>
      <c r="G177" s="8">
        <v>11517</v>
      </c>
      <c r="H177" s="8" t="s">
        <v>781</v>
      </c>
      <c r="I177" s="8" t="s">
        <v>782</v>
      </c>
      <c r="J177" s="8">
        <v>111240347</v>
      </c>
      <c r="K177" s="8" t="s">
        <v>47</v>
      </c>
      <c r="L177" s="9">
        <f>1.15*Table1[[#This Row],[القيمة]]</f>
        <v>44008795.125</v>
      </c>
      <c r="M177" s="10" t="s">
        <v>783</v>
      </c>
      <c r="N177" s="11">
        <v>38268517.5</v>
      </c>
      <c r="O177" s="20" t="s">
        <v>784</v>
      </c>
      <c r="P177" s="11" t="s">
        <v>96</v>
      </c>
      <c r="Q177" s="11" t="s">
        <v>613</v>
      </c>
      <c r="R177" s="8" t="s">
        <v>596</v>
      </c>
      <c r="S177" s="10" t="s">
        <v>647</v>
      </c>
      <c r="T177" s="8" t="s">
        <v>60</v>
      </c>
      <c r="U177" s="8" t="s">
        <v>614</v>
      </c>
      <c r="V177" s="8" t="s">
        <v>614</v>
      </c>
      <c r="W177" s="8" t="s">
        <v>87</v>
      </c>
      <c r="X177" s="8" t="s">
        <v>75</v>
      </c>
      <c r="Y177" s="14">
        <v>45585</v>
      </c>
      <c r="Z177" s="14">
        <v>47063</v>
      </c>
      <c r="AA177" s="8"/>
      <c r="AB177" s="10" t="s">
        <v>647</v>
      </c>
      <c r="AC177" s="10" t="s">
        <v>91</v>
      </c>
      <c r="AD177" s="12">
        <f>Table1[[#This Row],[القيمة]]</f>
        <v>38268517.5</v>
      </c>
      <c r="AE177" s="8" t="s">
        <v>614</v>
      </c>
      <c r="AF177" s="8"/>
      <c r="AG177" s="8"/>
      <c r="AH177" s="8"/>
      <c r="AI177" s="8" t="s">
        <v>114</v>
      </c>
      <c r="AJ177" s="8">
        <v>11.46</v>
      </c>
      <c r="AK177" s="8">
        <v>9.0299999999999994</v>
      </c>
      <c r="AL177" s="8">
        <v>2.4300000000000002</v>
      </c>
      <c r="AM177" s="8" t="s">
        <v>87</v>
      </c>
      <c r="AN177" s="8" t="s">
        <v>87</v>
      </c>
      <c r="AO177" s="8">
        <v>0</v>
      </c>
      <c r="AP177" s="8">
        <v>0</v>
      </c>
      <c r="AQ177" s="8"/>
      <c r="AR177" s="8">
        <v>3</v>
      </c>
      <c r="AS177" s="8">
        <v>1.1200000000000001</v>
      </c>
      <c r="AT177" s="54"/>
      <c r="AU177" s="54"/>
    </row>
    <row r="178" spans="1:47" ht="49.95" customHeight="1" x14ac:dyDescent="0.25">
      <c r="A178" s="8">
        <f>SUBTOTAL(3, $J$2:J178)</f>
        <v>172</v>
      </c>
      <c r="B178" s="8" t="s">
        <v>44</v>
      </c>
      <c r="C178" s="8" t="s">
        <v>47</v>
      </c>
      <c r="D178" s="8">
        <v>42.548768000000003</v>
      </c>
      <c r="E178" s="8">
        <v>18.286649000000001</v>
      </c>
      <c r="F178" s="8">
        <v>12450</v>
      </c>
      <c r="G178" s="8">
        <v>6357</v>
      </c>
      <c r="H178" s="8" t="s">
        <v>793</v>
      </c>
      <c r="I178" s="8" t="s">
        <v>794</v>
      </c>
      <c r="J178" s="8">
        <v>111240336</v>
      </c>
      <c r="K178" s="8" t="s">
        <v>47</v>
      </c>
      <c r="L178" s="9">
        <f>1.15*Table1[[#This Row],[القيمة]]</f>
        <v>10601850</v>
      </c>
      <c r="M178" s="10" t="s">
        <v>795</v>
      </c>
      <c r="N178" s="11">
        <v>9219000</v>
      </c>
      <c r="O178" s="20" t="s">
        <v>796</v>
      </c>
      <c r="P178" s="11" t="s">
        <v>96</v>
      </c>
      <c r="Q178" s="11" t="s">
        <v>687</v>
      </c>
      <c r="R178" s="8" t="s">
        <v>596</v>
      </c>
      <c r="S178" s="10" t="s">
        <v>194</v>
      </c>
      <c r="T178" s="8" t="s">
        <v>60</v>
      </c>
      <c r="U178" s="8" t="s">
        <v>694</v>
      </c>
      <c r="V178" s="8" t="s">
        <v>695</v>
      </c>
      <c r="W178" s="8" t="s">
        <v>105</v>
      </c>
      <c r="X178" s="8" t="s">
        <v>75</v>
      </c>
      <c r="Y178" s="14">
        <v>45568</v>
      </c>
      <c r="Z178" s="14">
        <v>46695</v>
      </c>
      <c r="AA178" s="8"/>
      <c r="AB178" s="10" t="s">
        <v>195</v>
      </c>
      <c r="AC178" s="10" t="s">
        <v>90</v>
      </c>
      <c r="AD178" s="12">
        <f>Table1[[#This Row],[القيمة]]</f>
        <v>9219000</v>
      </c>
      <c r="AE178" s="8" t="s">
        <v>695</v>
      </c>
      <c r="AF178" s="8"/>
      <c r="AG178" s="8"/>
      <c r="AH178" s="8"/>
      <c r="AI178" s="8" t="s">
        <v>60</v>
      </c>
      <c r="AJ178" s="8">
        <v>41.13</v>
      </c>
      <c r="AK178" s="8">
        <v>46.2</v>
      </c>
      <c r="AL178" s="8">
        <v>-5.07</v>
      </c>
      <c r="AM178" s="8" t="s">
        <v>105</v>
      </c>
      <c r="AN178" s="8" t="s">
        <v>105</v>
      </c>
      <c r="AO178" s="8">
        <v>0</v>
      </c>
      <c r="AP178" s="8">
        <v>0</v>
      </c>
      <c r="AQ178" s="8"/>
      <c r="AR178" s="8">
        <v>247</v>
      </c>
      <c r="AS178" s="8">
        <v>-1.08</v>
      </c>
      <c r="AT178" s="54"/>
      <c r="AU178" s="54"/>
    </row>
    <row r="179" spans="1:47" ht="49.95" customHeight="1" x14ac:dyDescent="0.25">
      <c r="A179" s="8">
        <f>SUBTOTAL(3, $J$2:J179)</f>
        <v>173</v>
      </c>
      <c r="B179" s="8" t="s">
        <v>317</v>
      </c>
      <c r="C179" s="8" t="s">
        <v>47</v>
      </c>
      <c r="D179" s="8">
        <v>42.474957000000003</v>
      </c>
      <c r="E179" s="8">
        <v>18.660817999999999</v>
      </c>
      <c r="F179" s="8">
        <v>59500</v>
      </c>
      <c r="G179" s="8">
        <v>3960</v>
      </c>
      <c r="H179" s="8" t="s">
        <v>797</v>
      </c>
      <c r="I179" s="8" t="s">
        <v>798</v>
      </c>
      <c r="J179" s="8">
        <v>111240328</v>
      </c>
      <c r="K179" s="8" t="s">
        <v>47</v>
      </c>
      <c r="L179" s="9">
        <f>1.15*Table1[[#This Row],[القيمة]]</f>
        <v>169320465.04999998</v>
      </c>
      <c r="M179" s="10" t="s">
        <v>799</v>
      </c>
      <c r="N179" s="11">
        <v>147235187</v>
      </c>
      <c r="O179" s="20" t="s">
        <v>800</v>
      </c>
      <c r="P179" s="11" t="s">
        <v>96</v>
      </c>
      <c r="Q179" s="11" t="s">
        <v>801</v>
      </c>
      <c r="R179" s="8" t="s">
        <v>596</v>
      </c>
      <c r="S179" s="10" t="s">
        <v>338</v>
      </c>
      <c r="T179" s="8" t="s">
        <v>60</v>
      </c>
      <c r="U179" s="8" t="s">
        <v>758</v>
      </c>
      <c r="V179" s="8" t="s">
        <v>758</v>
      </c>
      <c r="W179" s="8" t="s">
        <v>105</v>
      </c>
      <c r="X179" s="8" t="s">
        <v>75</v>
      </c>
      <c r="Y179" s="14">
        <v>45547</v>
      </c>
      <c r="Z179" s="14">
        <v>47069</v>
      </c>
      <c r="AA179" s="8"/>
      <c r="AB179" s="10" t="s">
        <v>338</v>
      </c>
      <c r="AC179" s="10" t="s">
        <v>91</v>
      </c>
      <c r="AD179" s="12">
        <f>Table1[[#This Row],[القيمة]]</f>
        <v>147235187</v>
      </c>
      <c r="AE179" s="8" t="s">
        <v>758</v>
      </c>
      <c r="AF179" s="8"/>
      <c r="AG179" s="8"/>
      <c r="AH179" s="8"/>
      <c r="AI179" s="8" t="s">
        <v>114</v>
      </c>
      <c r="AJ179" s="8">
        <v>32.69</v>
      </c>
      <c r="AK179" s="8">
        <v>33.409999999999997</v>
      </c>
      <c r="AL179" s="8">
        <v>-0.72</v>
      </c>
      <c r="AM179" s="8" t="s">
        <v>105</v>
      </c>
      <c r="AN179" s="8" t="s">
        <v>105</v>
      </c>
      <c r="AO179" s="8">
        <v>0</v>
      </c>
      <c r="AP179" s="8">
        <v>1</v>
      </c>
      <c r="AQ179" s="8"/>
      <c r="AR179" s="8">
        <v>0</v>
      </c>
      <c r="AS179" s="8">
        <v>-0.13</v>
      </c>
      <c r="AT179" s="54"/>
      <c r="AU179" s="54"/>
    </row>
    <row r="180" spans="1:47" ht="49.95" customHeight="1" x14ac:dyDescent="0.25">
      <c r="A180" s="8">
        <f>SUBTOTAL(3, $J$2:J180)</f>
        <v>174</v>
      </c>
      <c r="B180" s="8" t="s">
        <v>180</v>
      </c>
      <c r="C180" s="8" t="s">
        <v>47</v>
      </c>
      <c r="D180" s="8">
        <v>42.816820999999997</v>
      </c>
      <c r="E180" s="8">
        <v>18.360168999999999</v>
      </c>
      <c r="F180" s="8">
        <v>62200</v>
      </c>
      <c r="G180" s="8">
        <v>7150</v>
      </c>
      <c r="H180" s="8" t="s">
        <v>802</v>
      </c>
      <c r="I180" s="8" t="s">
        <v>803</v>
      </c>
      <c r="J180" s="8">
        <v>111240307</v>
      </c>
      <c r="K180" s="8" t="s">
        <v>47</v>
      </c>
      <c r="L180" s="9">
        <f>1.15*Table1[[#This Row],[القيمة]]</f>
        <v>26095569.999999996</v>
      </c>
      <c r="M180" s="10" t="s">
        <v>804</v>
      </c>
      <c r="N180" s="11">
        <v>22691800</v>
      </c>
      <c r="O180" s="20" t="s">
        <v>805</v>
      </c>
      <c r="P180" s="11" t="s">
        <v>96</v>
      </c>
      <c r="Q180" s="11" t="s">
        <v>633</v>
      </c>
      <c r="R180" s="8" t="s">
        <v>596</v>
      </c>
      <c r="S180" s="10" t="s">
        <v>806</v>
      </c>
      <c r="T180" s="8" t="s">
        <v>60</v>
      </c>
      <c r="U180" s="8" t="s">
        <v>689</v>
      </c>
      <c r="V180" s="8" t="s">
        <v>689</v>
      </c>
      <c r="W180" s="8" t="s">
        <v>87</v>
      </c>
      <c r="X180" s="8" t="s">
        <v>75</v>
      </c>
      <c r="Y180" s="14">
        <v>45599</v>
      </c>
      <c r="Z180" s="14">
        <v>47074</v>
      </c>
      <c r="AA180" s="8"/>
      <c r="AB180" s="10" t="s">
        <v>209</v>
      </c>
      <c r="AC180" s="10" t="s">
        <v>90</v>
      </c>
      <c r="AD180" s="12">
        <f>Table1[[#This Row],[القيمة]]</f>
        <v>22691800</v>
      </c>
      <c r="AE180" s="8" t="s">
        <v>689</v>
      </c>
      <c r="AF180" s="8"/>
      <c r="AG180" s="8"/>
      <c r="AH180" s="8"/>
      <c r="AI180" s="8" t="s">
        <v>60</v>
      </c>
      <c r="AJ180" s="8">
        <v>12.57</v>
      </c>
      <c r="AK180" s="8">
        <v>11.96</v>
      </c>
      <c r="AL180" s="8">
        <v>0.61</v>
      </c>
      <c r="AM180" s="8" t="s">
        <v>105</v>
      </c>
      <c r="AN180" s="8" t="s">
        <v>105</v>
      </c>
      <c r="AO180" s="8">
        <v>0</v>
      </c>
      <c r="AP180" s="8">
        <v>0</v>
      </c>
      <c r="AQ180" s="8"/>
      <c r="AR180" s="8" t="s">
        <v>667</v>
      </c>
      <c r="AS180" s="8">
        <v>-0.81</v>
      </c>
      <c r="AT180" s="54"/>
      <c r="AU180" s="54"/>
    </row>
    <row r="181" spans="1:47" ht="49.95" customHeight="1" x14ac:dyDescent="0.25">
      <c r="A181" s="8">
        <f>SUBTOTAL(3, $J$2:J181)</f>
        <v>175</v>
      </c>
      <c r="B181" s="8" t="s">
        <v>180</v>
      </c>
      <c r="C181" s="8" t="s">
        <v>55</v>
      </c>
      <c r="D181" s="8">
        <v>41.959375999999999</v>
      </c>
      <c r="E181" s="8">
        <v>19.643737000000002</v>
      </c>
      <c r="F181" s="8">
        <v>0</v>
      </c>
      <c r="G181" s="8">
        <v>0</v>
      </c>
      <c r="H181" s="8" t="s">
        <v>807</v>
      </c>
      <c r="I181" s="8" t="s">
        <v>808</v>
      </c>
      <c r="J181" s="8">
        <v>111240301</v>
      </c>
      <c r="K181" s="8" t="s">
        <v>47</v>
      </c>
      <c r="L181" s="9">
        <f>1.15*Table1[[#This Row],[القيمة]]</f>
        <v>15368887.499999998</v>
      </c>
      <c r="M181" s="10" t="s">
        <v>809</v>
      </c>
      <c r="N181" s="11">
        <v>13364250</v>
      </c>
      <c r="O181" s="20" t="s">
        <v>810</v>
      </c>
      <c r="P181" s="11" t="s">
        <v>96</v>
      </c>
      <c r="Q181" s="11" t="s">
        <v>757</v>
      </c>
      <c r="R181" s="8" t="s">
        <v>596</v>
      </c>
      <c r="S181" s="10" t="s">
        <v>490</v>
      </c>
      <c r="T181" s="8" t="s">
        <v>60</v>
      </c>
      <c r="U181" s="8" t="s">
        <v>758</v>
      </c>
      <c r="V181" s="8" t="s">
        <v>758</v>
      </c>
      <c r="W181" s="8" t="s">
        <v>87</v>
      </c>
      <c r="X181" s="8" t="s">
        <v>75</v>
      </c>
      <c r="Y181" s="14">
        <v>45579</v>
      </c>
      <c r="Z181" s="14">
        <v>46617</v>
      </c>
      <c r="AA181" s="8"/>
      <c r="AB181" s="10" t="s">
        <v>491</v>
      </c>
      <c r="AC181" s="10" t="s">
        <v>90</v>
      </c>
      <c r="AD181" s="12">
        <f>Table1[[#This Row],[القيمة]]</f>
        <v>13364250</v>
      </c>
      <c r="AE181" s="8" t="s">
        <v>758</v>
      </c>
      <c r="AF181" s="8"/>
      <c r="AG181" s="8"/>
      <c r="AH181" s="8"/>
      <c r="AI181" s="8" t="s">
        <v>114</v>
      </c>
      <c r="AJ181" s="8">
        <v>65.84</v>
      </c>
      <c r="AK181" s="8">
        <v>63.35</v>
      </c>
      <c r="AL181" s="8">
        <v>2.4900000000000002</v>
      </c>
      <c r="AM181" s="8" t="s">
        <v>87</v>
      </c>
      <c r="AN181" s="8" t="s">
        <v>87</v>
      </c>
      <c r="AO181" s="8">
        <v>1</v>
      </c>
      <c r="AP181" s="8">
        <v>0</v>
      </c>
      <c r="AQ181" s="8"/>
      <c r="AR181" s="8">
        <v>0</v>
      </c>
      <c r="AS181" s="8">
        <v>9.18</v>
      </c>
      <c r="AT181" s="54"/>
      <c r="AU181" s="54"/>
    </row>
    <row r="182" spans="1:47" ht="49.95" customHeight="1" x14ac:dyDescent="0.25">
      <c r="A182" s="8">
        <f>SUBTOTAL(3, $J$2:J182)</f>
        <v>176</v>
      </c>
      <c r="B182" s="8" t="s">
        <v>180</v>
      </c>
      <c r="C182" s="8" t="s">
        <v>47</v>
      </c>
      <c r="D182" s="8">
        <v>42.865867000000001</v>
      </c>
      <c r="E182" s="8">
        <v>18.186187</v>
      </c>
      <c r="F182" s="8">
        <v>23350</v>
      </c>
      <c r="G182" s="8">
        <v>4530</v>
      </c>
      <c r="H182" s="8" t="s">
        <v>811</v>
      </c>
      <c r="I182" s="8" t="s">
        <v>812</v>
      </c>
      <c r="J182" s="8">
        <v>111240297</v>
      </c>
      <c r="K182" s="8" t="s">
        <v>47</v>
      </c>
      <c r="L182" s="9">
        <f>1.15*Table1[[#This Row],[القيمة]]</f>
        <v>24015676.549999997</v>
      </c>
      <c r="M182" s="10" t="s">
        <v>813</v>
      </c>
      <c r="N182" s="11">
        <v>20883197</v>
      </c>
      <c r="O182" s="20" t="s">
        <v>814</v>
      </c>
      <c r="P182" s="11" t="s">
        <v>96</v>
      </c>
      <c r="Q182" s="11" t="s">
        <v>623</v>
      </c>
      <c r="R182" s="8" t="s">
        <v>596</v>
      </c>
      <c r="S182" s="10" t="s">
        <v>194</v>
      </c>
      <c r="T182" s="8" t="s">
        <v>60</v>
      </c>
      <c r="U182" s="8" t="s">
        <v>666</v>
      </c>
      <c r="V182" s="8" t="s">
        <v>666</v>
      </c>
      <c r="W182" s="8" t="s">
        <v>105</v>
      </c>
      <c r="X182" s="8" t="s">
        <v>75</v>
      </c>
      <c r="Y182" s="14">
        <v>45578</v>
      </c>
      <c r="Z182" s="14">
        <v>46965</v>
      </c>
      <c r="AA182" s="8"/>
      <c r="AB182" s="10" t="s">
        <v>195</v>
      </c>
      <c r="AC182" s="10" t="s">
        <v>90</v>
      </c>
      <c r="AD182" s="12">
        <f>Table1[[#This Row],[القيمة]]</f>
        <v>20883197</v>
      </c>
      <c r="AE182" s="8" t="s">
        <v>666</v>
      </c>
      <c r="AF182" s="8"/>
      <c r="AG182" s="8"/>
      <c r="AH182" s="8"/>
      <c r="AI182" s="8" t="s">
        <v>114</v>
      </c>
      <c r="AJ182" s="8">
        <v>11.51</v>
      </c>
      <c r="AK182" s="8">
        <v>13.91</v>
      </c>
      <c r="AL182" s="8">
        <v>-2.4</v>
      </c>
      <c r="AM182" s="8" t="s">
        <v>105</v>
      </c>
      <c r="AN182" s="8" t="s">
        <v>105</v>
      </c>
      <c r="AO182" s="8">
        <v>0</v>
      </c>
      <c r="AP182" s="8">
        <v>1</v>
      </c>
      <c r="AQ182" s="8"/>
      <c r="AR182" s="8" t="s">
        <v>60</v>
      </c>
      <c r="AS182" s="8">
        <v>-1.52</v>
      </c>
      <c r="AT182" s="54"/>
      <c r="AU182" s="54"/>
    </row>
    <row r="183" spans="1:47" ht="49.95" customHeight="1" x14ac:dyDescent="0.25">
      <c r="A183" s="8">
        <f>SUBTOTAL(3, $J$2:J183)</f>
        <v>177</v>
      </c>
      <c r="B183" s="8" t="s">
        <v>126</v>
      </c>
      <c r="C183" s="8" t="s">
        <v>47</v>
      </c>
      <c r="D183" s="8">
        <v>42.650398000000003</v>
      </c>
      <c r="E183" s="8">
        <v>20.193217000000001</v>
      </c>
      <c r="F183" s="8">
        <v>44600</v>
      </c>
      <c r="G183" s="8">
        <v>14908</v>
      </c>
      <c r="H183" s="8" t="s">
        <v>815</v>
      </c>
      <c r="I183" s="8" t="s">
        <v>816</v>
      </c>
      <c r="J183" s="8">
        <v>111240291</v>
      </c>
      <c r="K183" s="8" t="s">
        <v>47</v>
      </c>
      <c r="L183" s="9">
        <f>1.15*Table1[[#This Row],[القيمة]]</f>
        <v>112320022.74999999</v>
      </c>
      <c r="M183" s="10" t="s">
        <v>817</v>
      </c>
      <c r="N183" s="11">
        <v>97669585</v>
      </c>
      <c r="O183" s="20" t="s">
        <v>818</v>
      </c>
      <c r="P183" s="11" t="s">
        <v>96</v>
      </c>
      <c r="Q183" s="11" t="s">
        <v>819</v>
      </c>
      <c r="R183" s="8" t="s">
        <v>596</v>
      </c>
      <c r="S183" s="10" t="s">
        <v>820</v>
      </c>
      <c r="T183" s="8" t="s">
        <v>60</v>
      </c>
      <c r="U183" s="8" t="s">
        <v>718</v>
      </c>
      <c r="V183" s="8" t="s">
        <v>718</v>
      </c>
      <c r="W183" s="8" t="s">
        <v>105</v>
      </c>
      <c r="X183" s="8" t="s">
        <v>75</v>
      </c>
      <c r="Y183" s="14">
        <v>45575</v>
      </c>
      <c r="Z183" s="14">
        <v>47064</v>
      </c>
      <c r="AA183" s="8"/>
      <c r="AB183" s="10" t="s">
        <v>820</v>
      </c>
      <c r="AC183" s="10" t="s">
        <v>91</v>
      </c>
      <c r="AD183" s="12">
        <f>Table1[[#This Row],[القيمة]]</f>
        <v>97669585</v>
      </c>
      <c r="AE183" s="8" t="s">
        <v>718</v>
      </c>
      <c r="AF183" s="8"/>
      <c r="AG183" s="8"/>
      <c r="AH183" s="8"/>
      <c r="AI183" s="8" t="s">
        <v>298</v>
      </c>
      <c r="AJ183" s="8">
        <v>17.91</v>
      </c>
      <c r="AK183" s="8">
        <v>22</v>
      </c>
      <c r="AL183" s="8">
        <v>-4.09</v>
      </c>
      <c r="AM183" s="8" t="s">
        <v>87</v>
      </c>
      <c r="AN183" s="8" t="s">
        <v>87</v>
      </c>
      <c r="AO183" s="8">
        <v>0</v>
      </c>
      <c r="AP183" s="8">
        <v>0</v>
      </c>
      <c r="AQ183" s="8"/>
      <c r="AR183" s="8">
        <v>97</v>
      </c>
      <c r="AS183" s="8">
        <v>-1.45</v>
      </c>
      <c r="AT183" s="54"/>
      <c r="AU183" s="54"/>
    </row>
    <row r="184" spans="1:47" ht="49.95" customHeight="1" x14ac:dyDescent="0.25">
      <c r="A184" s="8">
        <f>SUBTOTAL(3, $J$2:J184)</f>
        <v>178</v>
      </c>
      <c r="B184" s="8" t="s">
        <v>91</v>
      </c>
      <c r="C184" s="8" t="s">
        <v>47</v>
      </c>
      <c r="D184" s="8">
        <v>42.026837999999998</v>
      </c>
      <c r="E184" s="8">
        <v>18.520879000000001</v>
      </c>
      <c r="F184" s="8">
        <v>149139</v>
      </c>
      <c r="G184" s="8">
        <v>67092</v>
      </c>
      <c r="H184" s="8" t="s">
        <v>821</v>
      </c>
      <c r="I184" s="8" t="s">
        <v>822</v>
      </c>
      <c r="J184" s="8">
        <v>111240285</v>
      </c>
      <c r="K184" s="8" t="s">
        <v>47</v>
      </c>
      <c r="L184" s="9">
        <f>1.15*Table1[[#This Row],[القيمة]]</f>
        <v>44975787</v>
      </c>
      <c r="M184" s="10" t="s">
        <v>823</v>
      </c>
      <c r="N184" s="11">
        <v>39109380</v>
      </c>
      <c r="O184" s="20" t="s">
        <v>824</v>
      </c>
      <c r="P184" s="11" t="s">
        <v>96</v>
      </c>
      <c r="Q184" s="11" t="s">
        <v>640</v>
      </c>
      <c r="R184" s="8" t="s">
        <v>596</v>
      </c>
      <c r="S184" s="10" t="s">
        <v>306</v>
      </c>
      <c r="T184" s="8" t="s">
        <v>60</v>
      </c>
      <c r="U184" s="8" t="s">
        <v>641</v>
      </c>
      <c r="V184" s="8" t="s">
        <v>641</v>
      </c>
      <c r="W184" s="8" t="s">
        <v>105</v>
      </c>
      <c r="X184" s="8" t="s">
        <v>75</v>
      </c>
      <c r="Y184" s="14">
        <v>45579</v>
      </c>
      <c r="Z184" s="14">
        <v>47003</v>
      </c>
      <c r="AA184" s="8"/>
      <c r="AB184" s="10" t="s">
        <v>306</v>
      </c>
      <c r="AC184" s="10" t="s">
        <v>91</v>
      </c>
      <c r="AD184" s="12">
        <f>Table1[[#This Row],[القيمة]]</f>
        <v>39109380</v>
      </c>
      <c r="AE184" s="8" t="s">
        <v>641</v>
      </c>
      <c r="AF184" s="8"/>
      <c r="AG184" s="8"/>
      <c r="AH184" s="8"/>
      <c r="AI184" s="8" t="s">
        <v>114</v>
      </c>
      <c r="AJ184" s="8">
        <v>35</v>
      </c>
      <c r="AK184" s="8">
        <v>37.51</v>
      </c>
      <c r="AL184" s="8">
        <v>-2.5099999999999998</v>
      </c>
      <c r="AM184" s="8" t="s">
        <v>105</v>
      </c>
      <c r="AN184" s="8" t="s">
        <v>105</v>
      </c>
      <c r="AO184" s="8">
        <v>0</v>
      </c>
      <c r="AP184" s="8">
        <v>0</v>
      </c>
      <c r="AQ184" s="8"/>
      <c r="AR184" s="8">
        <v>39</v>
      </c>
      <c r="AS184" s="8">
        <v>-0.99</v>
      </c>
      <c r="AT184" s="54"/>
      <c r="AU184" s="54"/>
    </row>
    <row r="185" spans="1:47" ht="49.95" customHeight="1" x14ac:dyDescent="0.25">
      <c r="A185" s="8">
        <f>SUBTOTAL(3, $J$2:J185)</f>
        <v>179</v>
      </c>
      <c r="B185" s="8" t="s">
        <v>180</v>
      </c>
      <c r="C185" s="8" t="s">
        <v>47</v>
      </c>
      <c r="D185" s="8">
        <v>42.596409999999999</v>
      </c>
      <c r="E185" s="8">
        <v>18.249586999999998</v>
      </c>
      <c r="F185" s="8">
        <v>21000</v>
      </c>
      <c r="G185" s="8">
        <v>6706</v>
      </c>
      <c r="H185" s="8" t="s">
        <v>825</v>
      </c>
      <c r="I185" s="8" t="s">
        <v>826</v>
      </c>
      <c r="J185" s="8">
        <v>111240277</v>
      </c>
      <c r="K185" s="8" t="s">
        <v>47</v>
      </c>
      <c r="L185" s="9">
        <f>1.15*Table1[[#This Row],[القيمة]]</f>
        <v>10983908.75</v>
      </c>
      <c r="M185" s="10" t="s">
        <v>827</v>
      </c>
      <c r="N185" s="11">
        <v>9551225</v>
      </c>
      <c r="O185" s="20" t="s">
        <v>828</v>
      </c>
      <c r="P185" s="11" t="s">
        <v>96</v>
      </c>
      <c r="Q185" s="11" t="s">
        <v>687</v>
      </c>
      <c r="R185" s="8" t="s">
        <v>596</v>
      </c>
      <c r="S185" s="10" t="s">
        <v>829</v>
      </c>
      <c r="T185" s="8" t="s">
        <v>60</v>
      </c>
      <c r="U185" s="8" t="s">
        <v>511</v>
      </c>
      <c r="V185" s="8" t="s">
        <v>511</v>
      </c>
      <c r="W185" s="8" t="s">
        <v>105</v>
      </c>
      <c r="X185" s="8" t="s">
        <v>75</v>
      </c>
      <c r="Y185" s="14">
        <v>45540</v>
      </c>
      <c r="Z185" s="14">
        <v>46657</v>
      </c>
      <c r="AA185" s="8"/>
      <c r="AB185" s="10" t="s">
        <v>830</v>
      </c>
      <c r="AC185" s="10" t="s">
        <v>90</v>
      </c>
      <c r="AD185" s="12">
        <f>Table1[[#This Row],[القيمة]]</f>
        <v>9551225</v>
      </c>
      <c r="AE185" s="8" t="s">
        <v>511</v>
      </c>
      <c r="AF185" s="97"/>
      <c r="AG185" s="8"/>
      <c r="AH185" s="8"/>
      <c r="AI185" s="8" t="s">
        <v>60</v>
      </c>
      <c r="AJ185" s="8">
        <v>37.409999999999997</v>
      </c>
      <c r="AK185" s="8">
        <v>41.29</v>
      </c>
      <c r="AL185" s="8">
        <v>-3.88</v>
      </c>
      <c r="AM185" s="8" t="s">
        <v>105</v>
      </c>
      <c r="AN185" s="8" t="s">
        <v>105</v>
      </c>
      <c r="AO185" s="8">
        <v>0</v>
      </c>
      <c r="AP185" s="8">
        <v>0</v>
      </c>
      <c r="AQ185" s="8"/>
      <c r="AR185" s="8">
        <v>0</v>
      </c>
      <c r="AS185" s="8">
        <v>-0.98</v>
      </c>
      <c r="AT185" s="54"/>
      <c r="AU185" s="54"/>
    </row>
    <row r="186" spans="1:47" ht="49.95" customHeight="1" x14ac:dyDescent="0.25">
      <c r="A186" s="8">
        <f>SUBTOTAL(3, $J$2:J186)</f>
        <v>180</v>
      </c>
      <c r="B186" s="8" t="s">
        <v>91</v>
      </c>
      <c r="C186" s="8" t="s">
        <v>47</v>
      </c>
      <c r="D186" s="8">
        <v>41.917610000000003</v>
      </c>
      <c r="E186" s="8">
        <v>18.948034</v>
      </c>
      <c r="F186" s="8">
        <v>87600</v>
      </c>
      <c r="G186" s="8">
        <v>50134</v>
      </c>
      <c r="H186" s="8" t="s">
        <v>831</v>
      </c>
      <c r="I186" s="8" t="s">
        <v>832</v>
      </c>
      <c r="J186" s="27">
        <v>111240266</v>
      </c>
      <c r="K186" s="8" t="s">
        <v>47</v>
      </c>
      <c r="L186" s="9">
        <f>1.15*Table1[[#This Row],[القيمة]]</f>
        <v>33785045</v>
      </c>
      <c r="M186" s="24" t="s">
        <v>833</v>
      </c>
      <c r="N186" s="25">
        <v>29378300</v>
      </c>
      <c r="O186" s="20" t="s">
        <v>834</v>
      </c>
      <c r="P186" s="11" t="s">
        <v>96</v>
      </c>
      <c r="Q186" s="11" t="s">
        <v>835</v>
      </c>
      <c r="R186" s="8" t="s">
        <v>596</v>
      </c>
      <c r="S186" s="24" t="s">
        <v>434</v>
      </c>
      <c r="T186" s="26" t="s">
        <v>60</v>
      </c>
      <c r="U186" s="26" t="s">
        <v>641</v>
      </c>
      <c r="V186" s="26" t="s">
        <v>641</v>
      </c>
      <c r="W186" s="8" t="s">
        <v>105</v>
      </c>
      <c r="X186" s="8" t="s">
        <v>75</v>
      </c>
      <c r="Y186" s="14">
        <v>45540</v>
      </c>
      <c r="Z186" s="14">
        <v>47093</v>
      </c>
      <c r="AA186" s="8"/>
      <c r="AB186" s="10" t="s">
        <v>435</v>
      </c>
      <c r="AC186" s="10" t="s">
        <v>91</v>
      </c>
      <c r="AD186" s="12">
        <f>Table1[[#This Row],[القيمة]]</f>
        <v>29378300</v>
      </c>
      <c r="AE186" s="8" t="s">
        <v>641</v>
      </c>
      <c r="AF186" s="8"/>
      <c r="AG186" s="26"/>
      <c r="AH186" s="8"/>
      <c r="AI186" s="8" t="s">
        <v>114</v>
      </c>
      <c r="AJ186" s="8">
        <v>37.590000000000003</v>
      </c>
      <c r="AK186" s="8">
        <v>38.409999999999997</v>
      </c>
      <c r="AL186" s="8">
        <v>-0.82</v>
      </c>
      <c r="AM186" s="8" t="s">
        <v>105</v>
      </c>
      <c r="AN186" s="8" t="s">
        <v>105</v>
      </c>
      <c r="AO186" s="8">
        <v>0</v>
      </c>
      <c r="AP186" s="8">
        <v>0</v>
      </c>
      <c r="AQ186" s="8"/>
      <c r="AR186" s="8">
        <v>61</v>
      </c>
      <c r="AS186" s="8">
        <v>-1.1299999999999999</v>
      </c>
      <c r="AT186" s="54"/>
      <c r="AU186" s="54"/>
    </row>
    <row r="187" spans="1:47" ht="49.95" customHeight="1" x14ac:dyDescent="0.25">
      <c r="A187" s="8">
        <f>SUBTOTAL(3, $J$2:J187)</f>
        <v>181</v>
      </c>
      <c r="B187" s="8" t="s">
        <v>91</v>
      </c>
      <c r="C187" s="8" t="s">
        <v>47</v>
      </c>
      <c r="D187" s="8">
        <v>42.725462999999998</v>
      </c>
      <c r="E187" s="8">
        <v>18.341985999999999</v>
      </c>
      <c r="F187" s="8">
        <v>10400</v>
      </c>
      <c r="G187" s="8">
        <v>6161</v>
      </c>
      <c r="H187" s="8" t="s">
        <v>838</v>
      </c>
      <c r="I187" s="8" t="s">
        <v>839</v>
      </c>
      <c r="J187" s="27">
        <v>111240254</v>
      </c>
      <c r="K187" s="8" t="s">
        <v>47</v>
      </c>
      <c r="L187" s="9">
        <f>1.15*Table1[[#This Row],[القيمة]]</f>
        <v>89517167.25</v>
      </c>
      <c r="M187" s="24" t="s">
        <v>840</v>
      </c>
      <c r="N187" s="25">
        <v>77841015</v>
      </c>
      <c r="O187" s="20" t="s">
        <v>841</v>
      </c>
      <c r="P187" s="11" t="s">
        <v>96</v>
      </c>
      <c r="Q187" s="11" t="s">
        <v>633</v>
      </c>
      <c r="R187" s="8" t="s">
        <v>596</v>
      </c>
      <c r="S187" s="24" t="s">
        <v>688</v>
      </c>
      <c r="T187" s="26" t="s">
        <v>60</v>
      </c>
      <c r="U187" s="26" t="s">
        <v>601</v>
      </c>
      <c r="V187" s="26" t="s">
        <v>678</v>
      </c>
      <c r="W187" s="8" t="s">
        <v>105</v>
      </c>
      <c r="X187" s="8" t="s">
        <v>75</v>
      </c>
      <c r="Y187" s="14">
        <v>45567</v>
      </c>
      <c r="Z187" s="14">
        <v>47124</v>
      </c>
      <c r="AA187" s="8"/>
      <c r="AB187" s="10" t="s">
        <v>688</v>
      </c>
      <c r="AC187" s="10" t="s">
        <v>91</v>
      </c>
      <c r="AD187" s="12">
        <f>Table1[[#This Row],[القيمة]]</f>
        <v>77841015</v>
      </c>
      <c r="AE187" s="19" t="s">
        <v>601</v>
      </c>
      <c r="AF187" s="8"/>
      <c r="AG187" s="26"/>
      <c r="AH187" s="8"/>
      <c r="AI187" s="8" t="s">
        <v>60</v>
      </c>
      <c r="AJ187" s="8">
        <v>36.130000000000003</v>
      </c>
      <c r="AK187" s="8">
        <v>37.4</v>
      </c>
      <c r="AL187" s="8">
        <v>-1.27</v>
      </c>
      <c r="AM187" s="8" t="s">
        <v>105</v>
      </c>
      <c r="AN187" s="8" t="s">
        <v>105</v>
      </c>
      <c r="AO187" s="8">
        <v>0</v>
      </c>
      <c r="AP187" s="8">
        <v>3</v>
      </c>
      <c r="AQ187" s="8"/>
      <c r="AR187" s="8">
        <v>34</v>
      </c>
      <c r="AS187" s="8">
        <v>-0.68</v>
      </c>
      <c r="AT187" s="54"/>
      <c r="AU187" s="54"/>
    </row>
    <row r="188" spans="1:47" ht="49.95" customHeight="1" x14ac:dyDescent="0.25">
      <c r="A188" s="8">
        <f>SUBTOTAL(3, $J$2:J188)</f>
        <v>182</v>
      </c>
      <c r="B188" s="8" t="s">
        <v>126</v>
      </c>
      <c r="C188" s="8" t="s">
        <v>47</v>
      </c>
      <c r="D188" s="8">
        <v>43.848236</v>
      </c>
      <c r="E188" s="8">
        <v>19.746946000000001</v>
      </c>
      <c r="F188" s="8">
        <v>65300</v>
      </c>
      <c r="G188" s="8">
        <v>33000</v>
      </c>
      <c r="H188" s="8" t="s">
        <v>842</v>
      </c>
      <c r="I188" s="8" t="s">
        <v>843</v>
      </c>
      <c r="J188" s="27">
        <v>111240231</v>
      </c>
      <c r="K188" s="8" t="s">
        <v>47</v>
      </c>
      <c r="L188" s="9">
        <f>1.15*Table1[[#This Row],[القيمة]]</f>
        <v>91211893.5</v>
      </c>
      <c r="M188" s="24" t="s">
        <v>844</v>
      </c>
      <c r="N188" s="25">
        <v>79314690</v>
      </c>
      <c r="O188" s="20" t="s">
        <v>845</v>
      </c>
      <c r="P188" s="11" t="s">
        <v>96</v>
      </c>
      <c r="Q188" s="11" t="s">
        <v>653</v>
      </c>
      <c r="R188" s="8" t="s">
        <v>596</v>
      </c>
      <c r="S188" s="24" t="s">
        <v>490</v>
      </c>
      <c r="T188" s="26" t="s">
        <v>60</v>
      </c>
      <c r="U188" s="26" t="s">
        <v>625</v>
      </c>
      <c r="V188" s="26" t="s">
        <v>655</v>
      </c>
      <c r="W188" s="8" t="s">
        <v>105</v>
      </c>
      <c r="X188" s="8" t="s">
        <v>75</v>
      </c>
      <c r="Y188" s="14">
        <v>45526</v>
      </c>
      <c r="Z188" s="14">
        <v>47008</v>
      </c>
      <c r="AA188" s="8"/>
      <c r="AB188" s="10" t="s">
        <v>491</v>
      </c>
      <c r="AC188" s="10" t="s">
        <v>91</v>
      </c>
      <c r="AD188" s="12">
        <f>Table1[[#This Row],[القيمة]]</f>
        <v>79314690</v>
      </c>
      <c r="AE188" s="8" t="s">
        <v>625</v>
      </c>
      <c r="AF188" s="8"/>
      <c r="AG188" s="26"/>
      <c r="AH188" s="8"/>
      <c r="AI188" s="8" t="s">
        <v>133</v>
      </c>
      <c r="AJ188" s="8">
        <v>28.13</v>
      </c>
      <c r="AK188" s="8">
        <v>30.44</v>
      </c>
      <c r="AL188" s="8">
        <v>-2.31</v>
      </c>
      <c r="AM188" s="8" t="s">
        <v>105</v>
      </c>
      <c r="AN188" s="8" t="s">
        <v>105</v>
      </c>
      <c r="AO188" s="8">
        <v>0</v>
      </c>
      <c r="AP188" s="8">
        <v>2</v>
      </c>
      <c r="AQ188" s="8"/>
      <c r="AR188" s="8">
        <v>55</v>
      </c>
      <c r="AS188" s="8">
        <v>0.06</v>
      </c>
      <c r="AT188" s="54"/>
      <c r="AU188" s="54"/>
    </row>
    <row r="189" spans="1:47" ht="49.95" customHeight="1" x14ac:dyDescent="0.25">
      <c r="A189" s="8">
        <f>SUBTOTAL(3, $J$2:J189)</f>
        <v>183</v>
      </c>
      <c r="B189" s="8" t="s">
        <v>91</v>
      </c>
      <c r="C189" s="8" t="s">
        <v>47</v>
      </c>
      <c r="D189" s="8">
        <v>42.192557999999998</v>
      </c>
      <c r="E189" s="8">
        <v>18.929784999999999</v>
      </c>
      <c r="F189" s="8">
        <v>78100</v>
      </c>
      <c r="G189" s="8">
        <v>14616</v>
      </c>
      <c r="H189" s="8" t="s">
        <v>846</v>
      </c>
      <c r="I189" s="8" t="s">
        <v>847</v>
      </c>
      <c r="J189" s="27">
        <v>111240226</v>
      </c>
      <c r="K189" s="8" t="s">
        <v>47</v>
      </c>
      <c r="L189" s="9">
        <f>1.15*Table1[[#This Row],[القيمة]]</f>
        <v>68129283.25</v>
      </c>
      <c r="M189" s="24" t="s">
        <v>848</v>
      </c>
      <c r="N189" s="25">
        <v>59242855</v>
      </c>
      <c r="O189" s="20" t="s">
        <v>849</v>
      </c>
      <c r="P189" s="11" t="s">
        <v>96</v>
      </c>
      <c r="Q189" s="11" t="s">
        <v>850</v>
      </c>
      <c r="R189" s="8" t="s">
        <v>596</v>
      </c>
      <c r="S189" s="24" t="s">
        <v>490</v>
      </c>
      <c r="T189" s="26" t="s">
        <v>60</v>
      </c>
      <c r="U189" s="8" t="s">
        <v>614</v>
      </c>
      <c r="V189" s="8" t="s">
        <v>614</v>
      </c>
      <c r="W189" s="8" t="s">
        <v>87</v>
      </c>
      <c r="X189" s="8" t="s">
        <v>75</v>
      </c>
      <c r="Y189" s="14">
        <v>45578</v>
      </c>
      <c r="Z189" s="14">
        <v>47120</v>
      </c>
      <c r="AA189" s="8"/>
      <c r="AB189" s="10" t="s">
        <v>491</v>
      </c>
      <c r="AC189" s="10" t="s">
        <v>91</v>
      </c>
      <c r="AD189" s="12">
        <f>Table1[[#This Row],[القيمة]]</f>
        <v>59242855</v>
      </c>
      <c r="AE189" s="8" t="s">
        <v>614</v>
      </c>
      <c r="AF189" s="8"/>
      <c r="AG189" s="26"/>
      <c r="AH189" s="8"/>
      <c r="AI189" s="8" t="s">
        <v>114</v>
      </c>
      <c r="AJ189" s="8">
        <v>23.28</v>
      </c>
      <c r="AK189" s="8">
        <v>22.56</v>
      </c>
      <c r="AL189" s="8">
        <v>0.72</v>
      </c>
      <c r="AM189" s="8" t="s">
        <v>105</v>
      </c>
      <c r="AN189" s="8" t="s">
        <v>105</v>
      </c>
      <c r="AO189" s="8">
        <v>0</v>
      </c>
      <c r="AP189" s="8">
        <v>1</v>
      </c>
      <c r="AQ189" s="8"/>
      <c r="AR189" s="8">
        <v>12</v>
      </c>
      <c r="AS189" s="8">
        <v>-0.32</v>
      </c>
      <c r="AT189" s="54"/>
      <c r="AU189" s="54" t="s">
        <v>47</v>
      </c>
    </row>
    <row r="190" spans="1:47" ht="49.95" customHeight="1" x14ac:dyDescent="0.25">
      <c r="A190" s="8">
        <f>SUBTOTAL(3, $J$2:J190)</f>
        <v>184</v>
      </c>
      <c r="B190" s="8" t="s">
        <v>44</v>
      </c>
      <c r="C190" s="8" t="s">
        <v>47</v>
      </c>
      <c r="D190" s="8">
        <v>42.709769999999999</v>
      </c>
      <c r="E190" s="8">
        <v>18.279215000000001</v>
      </c>
      <c r="F190" s="8">
        <v>11767</v>
      </c>
      <c r="G190" s="8">
        <v>6719.77</v>
      </c>
      <c r="H190" s="8" t="s">
        <v>851</v>
      </c>
      <c r="I190" s="8" t="s">
        <v>852</v>
      </c>
      <c r="J190" s="93">
        <v>111240217</v>
      </c>
      <c r="K190" s="8" t="s">
        <v>47</v>
      </c>
      <c r="L190" s="9">
        <f>1.15*Table1[[#This Row],[القيمة]]</f>
        <v>12061947.5</v>
      </c>
      <c r="M190" s="94" t="s">
        <v>853</v>
      </c>
      <c r="N190" s="95">
        <v>10488650</v>
      </c>
      <c r="O190" s="44" t="s">
        <v>854</v>
      </c>
      <c r="P190" s="11" t="s">
        <v>96</v>
      </c>
      <c r="Q190" s="11" t="s">
        <v>633</v>
      </c>
      <c r="R190" s="8" t="s">
        <v>596</v>
      </c>
      <c r="S190" s="94" t="s">
        <v>194</v>
      </c>
      <c r="T190" s="26" t="s">
        <v>60</v>
      </c>
      <c r="U190" s="8" t="s">
        <v>597</v>
      </c>
      <c r="V190" s="41" t="s">
        <v>625</v>
      </c>
      <c r="W190" s="8" t="s">
        <v>87</v>
      </c>
      <c r="X190" s="8" t="s">
        <v>75</v>
      </c>
      <c r="Y190" s="14">
        <v>45508</v>
      </c>
      <c r="Z190" s="14">
        <v>46432</v>
      </c>
      <c r="AA190" s="8"/>
      <c r="AB190" s="10" t="s">
        <v>195</v>
      </c>
      <c r="AC190" s="10" t="s">
        <v>90</v>
      </c>
      <c r="AD190" s="12">
        <f>Table1[[#This Row],[القيمة]]</f>
        <v>10488650</v>
      </c>
      <c r="AE190" s="41" t="s">
        <v>597</v>
      </c>
      <c r="AF190" s="8"/>
      <c r="AG190" s="26"/>
      <c r="AH190" s="8"/>
      <c r="AI190" s="8" t="s">
        <v>114</v>
      </c>
      <c r="AJ190" s="8">
        <v>49.54</v>
      </c>
      <c r="AK190" s="8">
        <v>49.14</v>
      </c>
      <c r="AL190" s="8">
        <v>0.4</v>
      </c>
      <c r="AM190" s="8" t="s">
        <v>87</v>
      </c>
      <c r="AN190" s="8" t="s">
        <v>87</v>
      </c>
      <c r="AO190" s="8">
        <v>0</v>
      </c>
      <c r="AP190" s="8">
        <v>0</v>
      </c>
      <c r="AQ190" s="8"/>
      <c r="AR190" s="8" t="s">
        <v>635</v>
      </c>
      <c r="AS190" s="8">
        <v>0.57999999999999996</v>
      </c>
      <c r="AT190" s="54"/>
      <c r="AU190" s="54"/>
    </row>
    <row r="191" spans="1:47" ht="49.95" customHeight="1" x14ac:dyDescent="0.25">
      <c r="A191" s="8">
        <f>SUBTOTAL(3, $J$2:J191)</f>
        <v>185</v>
      </c>
      <c r="B191" s="8" t="s">
        <v>126</v>
      </c>
      <c r="C191" s="8" t="s">
        <v>47</v>
      </c>
      <c r="D191" s="8">
        <v>43.544936999999997</v>
      </c>
      <c r="E191" s="8">
        <v>19.519476999999998</v>
      </c>
      <c r="F191" s="8">
        <v>174706</v>
      </c>
      <c r="G191" s="8">
        <v>19845</v>
      </c>
      <c r="H191" s="8" t="s">
        <v>855</v>
      </c>
      <c r="I191" s="8" t="s">
        <v>856</v>
      </c>
      <c r="J191" s="27">
        <v>111240180</v>
      </c>
      <c r="K191" s="8" t="s">
        <v>47</v>
      </c>
      <c r="L191" s="9">
        <f>1.15*Table1[[#This Row],[القيمة]]</f>
        <v>114689143.61499998</v>
      </c>
      <c r="M191" s="24" t="s">
        <v>857</v>
      </c>
      <c r="N191" s="25">
        <v>99729690.099999994</v>
      </c>
      <c r="O191" s="20" t="s">
        <v>858</v>
      </c>
      <c r="P191" s="11" t="s">
        <v>96</v>
      </c>
      <c r="Q191" s="11" t="s">
        <v>653</v>
      </c>
      <c r="R191" s="8" t="s">
        <v>596</v>
      </c>
      <c r="S191" s="24" t="s">
        <v>194</v>
      </c>
      <c r="T191" s="26" t="s">
        <v>60</v>
      </c>
      <c r="U191" s="8" t="s">
        <v>625</v>
      </c>
      <c r="V191" s="8" t="s">
        <v>655</v>
      </c>
      <c r="W191" s="8" t="s">
        <v>105</v>
      </c>
      <c r="X191" s="8" t="s">
        <v>75</v>
      </c>
      <c r="Y191" s="14">
        <v>45575</v>
      </c>
      <c r="Z191" s="14">
        <v>46987</v>
      </c>
      <c r="AA191" s="8"/>
      <c r="AB191" s="10" t="s">
        <v>195</v>
      </c>
      <c r="AC191" s="10" t="s">
        <v>91</v>
      </c>
      <c r="AD191" s="12">
        <f>Table1[[#This Row],[القيمة]]</f>
        <v>99729690.099999994</v>
      </c>
      <c r="AE191" s="8" t="s">
        <v>625</v>
      </c>
      <c r="AF191" s="8"/>
      <c r="AG191" s="26"/>
      <c r="AH191" s="8"/>
      <c r="AI191" s="8" t="s">
        <v>133</v>
      </c>
      <c r="AJ191" s="8">
        <v>14.27</v>
      </c>
      <c r="AK191" s="8">
        <v>14.29</v>
      </c>
      <c r="AL191" s="8">
        <v>-0.02</v>
      </c>
      <c r="AM191" s="8" t="s">
        <v>105</v>
      </c>
      <c r="AN191" s="8" t="s">
        <v>105</v>
      </c>
      <c r="AO191" s="8">
        <v>0</v>
      </c>
      <c r="AP191" s="8">
        <v>1</v>
      </c>
      <c r="AQ191" s="8"/>
      <c r="AR191" s="8">
        <v>7</v>
      </c>
      <c r="AS191" s="8">
        <v>-0.05</v>
      </c>
      <c r="AT191" s="54"/>
      <c r="AU191" s="54" t="s">
        <v>47</v>
      </c>
    </row>
    <row r="192" spans="1:47" ht="49.95" customHeight="1" x14ac:dyDescent="0.25">
      <c r="A192" s="8">
        <f>SUBTOTAL(3, $J$2:J192)</f>
        <v>186</v>
      </c>
      <c r="B192" s="8" t="s">
        <v>44</v>
      </c>
      <c r="C192" s="8" t="s">
        <v>47</v>
      </c>
      <c r="D192" s="8">
        <v>43.516824</v>
      </c>
      <c r="E192" s="8">
        <v>17.663325</v>
      </c>
      <c r="F192" s="8">
        <v>161174</v>
      </c>
      <c r="G192" s="8">
        <v>48108</v>
      </c>
      <c r="H192" s="8" t="s">
        <v>859</v>
      </c>
      <c r="I192" s="8" t="s">
        <v>860</v>
      </c>
      <c r="J192" s="27">
        <v>111240136</v>
      </c>
      <c r="K192" s="8" t="s">
        <v>47</v>
      </c>
      <c r="L192" s="9">
        <f>1.15*Table1[[#This Row],[القيمة]]</f>
        <v>65296217.999999993</v>
      </c>
      <c r="M192" s="24" t="s">
        <v>861</v>
      </c>
      <c r="N192" s="25">
        <v>56779320</v>
      </c>
      <c r="O192" s="20" t="s">
        <v>862</v>
      </c>
      <c r="P192" s="11" t="s">
        <v>96</v>
      </c>
      <c r="Q192" s="11" t="s">
        <v>863</v>
      </c>
      <c r="R192" s="8" t="s">
        <v>596</v>
      </c>
      <c r="S192" s="24" t="s">
        <v>820</v>
      </c>
      <c r="T192" s="26" t="s">
        <v>60</v>
      </c>
      <c r="U192" s="8" t="s">
        <v>666</v>
      </c>
      <c r="V192" s="8" t="s">
        <v>666</v>
      </c>
      <c r="W192" s="8" t="s">
        <v>87</v>
      </c>
      <c r="X192" s="8" t="s">
        <v>75</v>
      </c>
      <c r="Y192" s="14">
        <v>45505</v>
      </c>
      <c r="Z192" s="14">
        <v>46984</v>
      </c>
      <c r="AA192" s="8"/>
      <c r="AB192" s="10" t="s">
        <v>820</v>
      </c>
      <c r="AC192" s="10" t="s">
        <v>91</v>
      </c>
      <c r="AD192" s="12">
        <f>Table1[[#This Row],[القيمة]]</f>
        <v>56779320</v>
      </c>
      <c r="AE192" s="8" t="s">
        <v>666</v>
      </c>
      <c r="AF192" s="8"/>
      <c r="AG192" s="26"/>
      <c r="AH192" s="8"/>
      <c r="AI192" s="8" t="s">
        <v>114</v>
      </c>
      <c r="AJ192" s="8">
        <v>22.21</v>
      </c>
      <c r="AK192" s="8">
        <v>19.5</v>
      </c>
      <c r="AL192" s="8">
        <v>2.71</v>
      </c>
      <c r="AM192" s="8" t="s">
        <v>87</v>
      </c>
      <c r="AN192" s="8" t="s">
        <v>87</v>
      </c>
      <c r="AO192" s="8">
        <v>0</v>
      </c>
      <c r="AP192" s="8">
        <v>1</v>
      </c>
      <c r="AQ192" s="8"/>
      <c r="AR192" s="8">
        <v>24</v>
      </c>
      <c r="AS192" s="8">
        <v>0.66</v>
      </c>
      <c r="AT192" s="54"/>
      <c r="AU192" s="54"/>
    </row>
    <row r="193" spans="1:47" ht="49.95" customHeight="1" x14ac:dyDescent="0.25">
      <c r="A193" s="8">
        <f>SUBTOTAL(3, $J$2:J193)</f>
        <v>187</v>
      </c>
      <c r="B193" s="8" t="s">
        <v>91</v>
      </c>
      <c r="C193" s="8" t="s">
        <v>47</v>
      </c>
      <c r="D193" s="8">
        <v>42.810606</v>
      </c>
      <c r="E193" s="8">
        <v>19.421263</v>
      </c>
      <c r="F193" s="8">
        <v>28565</v>
      </c>
      <c r="G193" s="8">
        <v>19325</v>
      </c>
      <c r="H193" s="8" t="s">
        <v>864</v>
      </c>
      <c r="I193" s="8" t="s">
        <v>865</v>
      </c>
      <c r="J193" s="27">
        <v>111240069</v>
      </c>
      <c r="K193" s="8" t="s">
        <v>47</v>
      </c>
      <c r="L193" s="9">
        <f>1.15*Table1[[#This Row],[القيمة]]</f>
        <v>23700091.25</v>
      </c>
      <c r="M193" s="24" t="s">
        <v>866</v>
      </c>
      <c r="N193" s="25">
        <v>20608775</v>
      </c>
      <c r="O193" s="20" t="s">
        <v>867</v>
      </c>
      <c r="P193" s="11" t="s">
        <v>96</v>
      </c>
      <c r="Q193" s="11" t="s">
        <v>819</v>
      </c>
      <c r="R193" s="8" t="s">
        <v>596</v>
      </c>
      <c r="S193" s="24" t="s">
        <v>327</v>
      </c>
      <c r="T193" s="26" t="s">
        <v>60</v>
      </c>
      <c r="U193" s="8" t="s">
        <v>718</v>
      </c>
      <c r="V193" s="8" t="s">
        <v>718</v>
      </c>
      <c r="W193" s="8" t="s">
        <v>87</v>
      </c>
      <c r="X193" s="8" t="s">
        <v>75</v>
      </c>
      <c r="Y193" s="14">
        <v>45414</v>
      </c>
      <c r="Z193" s="14">
        <v>46995</v>
      </c>
      <c r="AA193" s="8"/>
      <c r="AB193" s="10" t="s">
        <v>327</v>
      </c>
      <c r="AC193" s="10" t="s">
        <v>91</v>
      </c>
      <c r="AD193" s="12">
        <f>Table1[[#This Row],[القيمة]]</f>
        <v>20608775</v>
      </c>
      <c r="AE193" s="8" t="s">
        <v>718</v>
      </c>
      <c r="AF193" s="8"/>
      <c r="AG193" s="26"/>
      <c r="AH193" s="8"/>
      <c r="AI193" s="8" t="s">
        <v>114</v>
      </c>
      <c r="AJ193" s="8">
        <v>48.05</v>
      </c>
      <c r="AK193" s="8">
        <v>46.62</v>
      </c>
      <c r="AL193" s="8">
        <v>1.43</v>
      </c>
      <c r="AM193" s="8" t="s">
        <v>87</v>
      </c>
      <c r="AN193" s="8" t="s">
        <v>87</v>
      </c>
      <c r="AO193" s="8">
        <v>0</v>
      </c>
      <c r="AP193" s="8">
        <v>0</v>
      </c>
      <c r="AQ193" s="8"/>
      <c r="AR193" s="8">
        <v>30</v>
      </c>
      <c r="AS193" s="8">
        <v>0.66</v>
      </c>
      <c r="AT193" s="54"/>
      <c r="AU193" s="54"/>
    </row>
    <row r="194" spans="1:47" ht="49.95" customHeight="1" x14ac:dyDescent="0.25">
      <c r="A194" s="8">
        <f>SUBTOTAL(3, $J$2:J194)</f>
        <v>188</v>
      </c>
      <c r="B194" s="8" t="s">
        <v>91</v>
      </c>
      <c r="C194" s="8" t="s">
        <v>47</v>
      </c>
      <c r="D194" s="8">
        <v>42.617786000000002</v>
      </c>
      <c r="E194" s="8">
        <v>18.310272999999999</v>
      </c>
      <c r="F194" s="8">
        <v>83280</v>
      </c>
      <c r="G194" s="8">
        <v>28598</v>
      </c>
      <c r="H194" s="8" t="s">
        <v>868</v>
      </c>
      <c r="I194" s="8" t="s">
        <v>869</v>
      </c>
      <c r="J194" s="27">
        <v>111240065</v>
      </c>
      <c r="K194" s="8" t="s">
        <v>47</v>
      </c>
      <c r="L194" s="9">
        <f>1.15*Table1[[#This Row],[القيمة]]</f>
        <v>43528656.899999999</v>
      </c>
      <c r="M194" s="24" t="s">
        <v>870</v>
      </c>
      <c r="N194" s="25">
        <v>37851006</v>
      </c>
      <c r="O194" s="20" t="s">
        <v>871</v>
      </c>
      <c r="P194" s="11" t="s">
        <v>96</v>
      </c>
      <c r="Q194" s="11" t="s">
        <v>687</v>
      </c>
      <c r="R194" s="8" t="s">
        <v>596</v>
      </c>
      <c r="S194" s="24" t="s">
        <v>872</v>
      </c>
      <c r="T194" s="26" t="s">
        <v>60</v>
      </c>
      <c r="U194" s="8" t="s">
        <v>694</v>
      </c>
      <c r="V194" s="8" t="s">
        <v>695</v>
      </c>
      <c r="W194" s="8" t="s">
        <v>87</v>
      </c>
      <c r="X194" s="8" t="s">
        <v>75</v>
      </c>
      <c r="Y194" s="14">
        <v>45418</v>
      </c>
      <c r="Z194" s="14">
        <v>46878</v>
      </c>
      <c r="AA194" s="8"/>
      <c r="AB194" s="10" t="s">
        <v>873</v>
      </c>
      <c r="AC194" s="10" t="s">
        <v>91</v>
      </c>
      <c r="AD194" s="12">
        <f>Table1[[#This Row],[القيمة]]</f>
        <v>37851006</v>
      </c>
      <c r="AE194" s="8" t="s">
        <v>695</v>
      </c>
      <c r="AF194" s="8"/>
      <c r="AG194" s="26"/>
      <c r="AH194" s="8"/>
      <c r="AI194" s="8" t="s">
        <v>60</v>
      </c>
      <c r="AJ194" s="8">
        <v>30.66</v>
      </c>
      <c r="AK194" s="8">
        <v>28.7</v>
      </c>
      <c r="AL194" s="8">
        <v>1.96</v>
      </c>
      <c r="AM194" s="8" t="s">
        <v>87</v>
      </c>
      <c r="AN194" s="8" t="s">
        <v>87</v>
      </c>
      <c r="AO194" s="8">
        <v>0</v>
      </c>
      <c r="AP194" s="8">
        <v>0</v>
      </c>
      <c r="AQ194" s="8"/>
      <c r="AR194" s="8">
        <v>54</v>
      </c>
      <c r="AS194" s="8">
        <v>0.84</v>
      </c>
      <c r="AT194" s="54"/>
      <c r="AU194" s="54" t="s">
        <v>47</v>
      </c>
    </row>
    <row r="195" spans="1:47" ht="49.95" customHeight="1" x14ac:dyDescent="0.25">
      <c r="A195" s="8">
        <f>SUBTOTAL(3, $J$2:J195)</f>
        <v>189</v>
      </c>
      <c r="B195" s="8" t="s">
        <v>44</v>
      </c>
      <c r="C195" s="8" t="s">
        <v>47</v>
      </c>
      <c r="D195" s="8">
        <v>42.828349000000003</v>
      </c>
      <c r="E195" s="8">
        <v>19.329550999999999</v>
      </c>
      <c r="F195" s="8">
        <v>0</v>
      </c>
      <c r="G195" s="8">
        <v>0</v>
      </c>
      <c r="H195" s="8" t="s">
        <v>874</v>
      </c>
      <c r="I195" s="8" t="s">
        <v>875</v>
      </c>
      <c r="J195" s="27">
        <v>111240062</v>
      </c>
      <c r="K195" s="8" t="s">
        <v>47</v>
      </c>
      <c r="L195" s="9">
        <f>1.15*Table1[[#This Row],[القيمة]]</f>
        <v>20193767.125</v>
      </c>
      <c r="M195" s="24" t="s">
        <v>876</v>
      </c>
      <c r="N195" s="25">
        <v>17559797.5</v>
      </c>
      <c r="O195" s="20" t="s">
        <v>877</v>
      </c>
      <c r="P195" s="11" t="s">
        <v>96</v>
      </c>
      <c r="Q195" s="11" t="s">
        <v>819</v>
      </c>
      <c r="R195" s="8" t="s">
        <v>596</v>
      </c>
      <c r="S195" s="24" t="s">
        <v>878</v>
      </c>
      <c r="T195" s="26" t="s">
        <v>60</v>
      </c>
      <c r="U195" s="8" t="s">
        <v>718</v>
      </c>
      <c r="V195" s="8" t="s">
        <v>718</v>
      </c>
      <c r="W195" s="8" t="s">
        <v>105</v>
      </c>
      <c r="X195" s="8" t="s">
        <v>75</v>
      </c>
      <c r="Y195" s="14">
        <v>45435</v>
      </c>
      <c r="Z195" s="14">
        <v>46957</v>
      </c>
      <c r="AA195" s="8"/>
      <c r="AB195" s="10" t="s">
        <v>879</v>
      </c>
      <c r="AC195" s="10" t="s">
        <v>91</v>
      </c>
      <c r="AD195" s="12">
        <f>Table1[[#This Row],[القيمة]]</f>
        <v>17559797.5</v>
      </c>
      <c r="AE195" s="8" t="s">
        <v>718</v>
      </c>
      <c r="AF195" s="8"/>
      <c r="AG195" s="26"/>
      <c r="AH195" s="8"/>
      <c r="AI195" s="8" t="s">
        <v>114</v>
      </c>
      <c r="AJ195" s="8">
        <v>48.96</v>
      </c>
      <c r="AK195" s="8">
        <v>55.54</v>
      </c>
      <c r="AL195" s="8">
        <v>-6.58</v>
      </c>
      <c r="AM195" s="8" t="s">
        <v>105</v>
      </c>
      <c r="AN195" s="8" t="s">
        <v>105</v>
      </c>
      <c r="AO195" s="8">
        <v>0</v>
      </c>
      <c r="AP195" s="8">
        <v>0</v>
      </c>
      <c r="AQ195" s="8"/>
      <c r="AR195" s="8">
        <v>13</v>
      </c>
      <c r="AS195" s="8">
        <v>-3.47</v>
      </c>
      <c r="AT195" s="54"/>
      <c r="AU195" s="54"/>
    </row>
    <row r="196" spans="1:47" ht="49.95" customHeight="1" x14ac:dyDescent="0.25">
      <c r="A196" s="8">
        <f>SUBTOTAL(3, $J$2:J196)</f>
        <v>190</v>
      </c>
      <c r="B196" s="8" t="s">
        <v>91</v>
      </c>
      <c r="C196" s="8" t="s">
        <v>47</v>
      </c>
      <c r="D196" s="8">
        <v>42.602401999999998</v>
      </c>
      <c r="E196" s="8">
        <v>20.009967</v>
      </c>
      <c r="F196" s="8">
        <v>116070</v>
      </c>
      <c r="G196" s="8">
        <v>33890</v>
      </c>
      <c r="H196" s="8" t="s">
        <v>880</v>
      </c>
      <c r="I196" s="8" t="s">
        <v>881</v>
      </c>
      <c r="J196" s="27">
        <v>111240058</v>
      </c>
      <c r="K196" s="8" t="s">
        <v>47</v>
      </c>
      <c r="L196" s="9">
        <f>1.15*Table1[[#This Row],[القيمة]]</f>
        <v>61994976.249999993</v>
      </c>
      <c r="M196" s="24" t="s">
        <v>882</v>
      </c>
      <c r="N196" s="25">
        <v>53908675</v>
      </c>
      <c r="O196" s="20" t="s">
        <v>883</v>
      </c>
      <c r="P196" s="11" t="s">
        <v>96</v>
      </c>
      <c r="Q196" s="11" t="s">
        <v>819</v>
      </c>
      <c r="R196" s="8" t="s">
        <v>596</v>
      </c>
      <c r="S196" s="24" t="s">
        <v>820</v>
      </c>
      <c r="T196" s="26" t="s">
        <v>60</v>
      </c>
      <c r="U196" s="8" t="s">
        <v>718</v>
      </c>
      <c r="V196" s="8" t="s">
        <v>718</v>
      </c>
      <c r="W196" s="8" t="s">
        <v>87</v>
      </c>
      <c r="X196" s="8" t="s">
        <v>75</v>
      </c>
      <c r="Y196" s="14">
        <v>45449</v>
      </c>
      <c r="Z196" s="14">
        <v>46990</v>
      </c>
      <c r="AA196" s="8"/>
      <c r="AB196" s="10" t="s">
        <v>820</v>
      </c>
      <c r="AC196" s="10" t="s">
        <v>91</v>
      </c>
      <c r="AD196" s="12">
        <f>Table1[[#This Row],[القيمة]]</f>
        <v>53908675</v>
      </c>
      <c r="AE196" s="8" t="s">
        <v>718</v>
      </c>
      <c r="AF196" s="8"/>
      <c r="AG196" s="26"/>
      <c r="AH196" s="8"/>
      <c r="AI196" s="8" t="s">
        <v>114</v>
      </c>
      <c r="AJ196" s="8">
        <v>31.71</v>
      </c>
      <c r="AK196" s="8">
        <v>28.64</v>
      </c>
      <c r="AL196" s="8">
        <v>3.07</v>
      </c>
      <c r="AM196" s="8" t="s">
        <v>87</v>
      </c>
      <c r="AN196" s="8" t="s">
        <v>87</v>
      </c>
      <c r="AO196" s="8">
        <v>0</v>
      </c>
      <c r="AP196" s="8">
        <v>0</v>
      </c>
      <c r="AQ196" s="8"/>
      <c r="AR196" s="8">
        <v>54</v>
      </c>
      <c r="AS196" s="8">
        <v>1.03</v>
      </c>
      <c r="AT196" s="54"/>
      <c r="AU196" s="54"/>
    </row>
    <row r="197" spans="1:47" ht="49.95" customHeight="1" x14ac:dyDescent="0.25">
      <c r="A197" s="8">
        <v>1</v>
      </c>
      <c r="B197" s="8" t="s">
        <v>91</v>
      </c>
      <c r="C197" s="8"/>
      <c r="D197" s="8"/>
      <c r="E197" s="8"/>
      <c r="F197" s="8"/>
      <c r="G197" s="8"/>
      <c r="H197" s="8" t="s">
        <v>887</v>
      </c>
      <c r="I197" s="8" t="s">
        <v>888</v>
      </c>
      <c r="J197" s="96">
        <v>121260186</v>
      </c>
      <c r="K197" s="8" t="s">
        <v>71</v>
      </c>
      <c r="L197" s="9">
        <f>1.15*Table1[[#This Row],[القيمة]]</f>
        <v>144182009</v>
      </c>
      <c r="M197" s="24" t="s">
        <v>889</v>
      </c>
      <c r="N197" s="25">
        <v>125375660</v>
      </c>
      <c r="O197" s="20"/>
      <c r="P197" s="11"/>
      <c r="Q197" s="11" t="s">
        <v>890</v>
      </c>
      <c r="R197" s="8" t="s">
        <v>49</v>
      </c>
      <c r="S197" s="24" t="s">
        <v>891</v>
      </c>
      <c r="T197" s="26" t="s">
        <v>60</v>
      </c>
      <c r="U197" s="97" t="s">
        <v>380</v>
      </c>
      <c r="V197" s="97"/>
      <c r="W197" s="8" t="s">
        <v>87</v>
      </c>
      <c r="X197" s="8" t="s">
        <v>75</v>
      </c>
      <c r="Y197" s="14">
        <v>46245</v>
      </c>
      <c r="Z197" s="14">
        <v>46784</v>
      </c>
      <c r="AA197" s="14"/>
      <c r="AB197" s="10" t="s">
        <v>892</v>
      </c>
      <c r="AC197" s="10" t="s">
        <v>91</v>
      </c>
      <c r="AD197" s="12">
        <v>125375660</v>
      </c>
      <c r="AE197" s="8"/>
      <c r="AF197" s="8" t="s">
        <v>380</v>
      </c>
      <c r="AG197" s="26"/>
      <c r="AH197" s="8"/>
      <c r="AI197" s="8"/>
      <c r="AJ197" s="8">
        <v>0</v>
      </c>
      <c r="AK197" s="8">
        <v>0</v>
      </c>
      <c r="AL197" s="8">
        <v>0</v>
      </c>
      <c r="AM197" s="8"/>
      <c r="AN197" s="8"/>
      <c r="AO197" s="8"/>
      <c r="AP197" s="8"/>
      <c r="AQ197" s="8"/>
      <c r="AR197" s="8"/>
      <c r="AS197" s="8"/>
      <c r="AT197" s="54"/>
      <c r="AU197" s="54"/>
    </row>
    <row r="198" spans="1:47" ht="49.95" customHeight="1" x14ac:dyDescent="0.25">
      <c r="A198" s="8">
        <f>SUBTOTAL(3, $J$2:J198)</f>
        <v>192</v>
      </c>
      <c r="B198" s="8" t="s">
        <v>91</v>
      </c>
      <c r="C198" s="8" t="s">
        <v>47</v>
      </c>
      <c r="D198" s="8">
        <v>42.063439000000002</v>
      </c>
      <c r="E198" s="8">
        <v>18.505427999999998</v>
      </c>
      <c r="F198" s="8">
        <v>182000</v>
      </c>
      <c r="G198" s="8">
        <v>54778</v>
      </c>
      <c r="H198" s="8" t="s">
        <v>895</v>
      </c>
      <c r="I198" s="8" t="s">
        <v>896</v>
      </c>
      <c r="J198" s="27">
        <v>111240032</v>
      </c>
      <c r="K198" s="8" t="s">
        <v>47</v>
      </c>
      <c r="L198" s="9">
        <f>1.15*Table1[[#This Row],[القيمة]]</f>
        <v>45975976.5</v>
      </c>
      <c r="M198" s="24" t="s">
        <v>897</v>
      </c>
      <c r="N198" s="25">
        <v>39979110</v>
      </c>
      <c r="O198" s="20" t="s">
        <v>898</v>
      </c>
      <c r="P198" s="11" t="s">
        <v>96</v>
      </c>
      <c r="Q198" s="11" t="s">
        <v>640</v>
      </c>
      <c r="R198" s="8" t="s">
        <v>596</v>
      </c>
      <c r="S198" s="24" t="s">
        <v>624</v>
      </c>
      <c r="T198" s="26" t="s">
        <v>60</v>
      </c>
      <c r="U198" s="8" t="s">
        <v>641</v>
      </c>
      <c r="V198" s="8" t="s">
        <v>641</v>
      </c>
      <c r="W198" s="8" t="s">
        <v>105</v>
      </c>
      <c r="X198" s="8" t="s">
        <v>75</v>
      </c>
      <c r="Y198" s="14">
        <v>45509</v>
      </c>
      <c r="Z198" s="14">
        <v>47010</v>
      </c>
      <c r="AA198" s="8"/>
      <c r="AB198" s="10" t="s">
        <v>626</v>
      </c>
      <c r="AC198" s="10" t="s">
        <v>91</v>
      </c>
      <c r="AD198" s="12">
        <f>Table1[[#This Row],[القيمة]]</f>
        <v>39979110</v>
      </c>
      <c r="AE198" s="8" t="s">
        <v>641</v>
      </c>
      <c r="AF198" s="8"/>
      <c r="AG198" s="26"/>
      <c r="AH198" s="8"/>
      <c r="AI198" s="8" t="s">
        <v>114</v>
      </c>
      <c r="AJ198" s="8">
        <v>36.43</v>
      </c>
      <c r="AK198" s="8">
        <v>36.5</v>
      </c>
      <c r="AL198" s="8">
        <v>-7.0000000000000007E-2</v>
      </c>
      <c r="AM198" s="8" t="s">
        <v>87</v>
      </c>
      <c r="AN198" s="8" t="s">
        <v>87</v>
      </c>
      <c r="AO198" s="8">
        <v>0</v>
      </c>
      <c r="AP198" s="8">
        <v>0</v>
      </c>
      <c r="AQ198" s="8"/>
      <c r="AR198" s="8">
        <v>27</v>
      </c>
      <c r="AS198" s="8">
        <v>0.28999999999999998</v>
      </c>
      <c r="AT198" s="54"/>
      <c r="AU198" s="54" t="s">
        <v>47</v>
      </c>
    </row>
    <row r="199" spans="1:47" ht="49.95" customHeight="1" x14ac:dyDescent="0.25">
      <c r="A199" s="8">
        <f>SUBTOTAL(3, $J$2:J199)</f>
        <v>193</v>
      </c>
      <c r="B199" s="8" t="s">
        <v>91</v>
      </c>
      <c r="C199" s="8" t="s">
        <v>47</v>
      </c>
      <c r="D199" s="8">
        <v>42.707410000000003</v>
      </c>
      <c r="E199" s="8">
        <v>18.349060000000001</v>
      </c>
      <c r="F199" s="8">
        <v>149250</v>
      </c>
      <c r="G199" s="8">
        <v>50570</v>
      </c>
      <c r="H199" s="8" t="s">
        <v>899</v>
      </c>
      <c r="I199" s="8" t="s">
        <v>900</v>
      </c>
      <c r="J199" s="27">
        <v>111240022</v>
      </c>
      <c r="K199" s="8" t="s">
        <v>47</v>
      </c>
      <c r="L199" s="9">
        <f>1.15*Table1[[#This Row],[القيمة]]</f>
        <v>68685590</v>
      </c>
      <c r="M199" s="24" t="s">
        <v>901</v>
      </c>
      <c r="N199" s="25">
        <v>59726600</v>
      </c>
      <c r="O199" s="20" t="s">
        <v>902</v>
      </c>
      <c r="P199" s="11" t="s">
        <v>96</v>
      </c>
      <c r="Q199" s="11" t="s">
        <v>633</v>
      </c>
      <c r="R199" s="8" t="s">
        <v>596</v>
      </c>
      <c r="S199" s="24" t="s">
        <v>820</v>
      </c>
      <c r="T199" s="26" t="s">
        <v>60</v>
      </c>
      <c r="U199" s="8" t="s">
        <v>689</v>
      </c>
      <c r="V199" s="8" t="s">
        <v>689</v>
      </c>
      <c r="W199" s="8" t="s">
        <v>87</v>
      </c>
      <c r="X199" s="8" t="s">
        <v>75</v>
      </c>
      <c r="Y199" s="14">
        <v>45411</v>
      </c>
      <c r="Z199" s="14">
        <v>46937</v>
      </c>
      <c r="AA199" s="8"/>
      <c r="AB199" s="10" t="s">
        <v>820</v>
      </c>
      <c r="AC199" s="10" t="s">
        <v>91</v>
      </c>
      <c r="AD199" s="12">
        <f>Table1[[#This Row],[القيمة]]</f>
        <v>59726600</v>
      </c>
      <c r="AE199" s="8" t="s">
        <v>689</v>
      </c>
      <c r="AF199" s="8"/>
      <c r="AG199" s="26"/>
      <c r="AH199" s="8"/>
      <c r="AI199" s="8" t="s">
        <v>60</v>
      </c>
      <c r="AJ199" s="8">
        <v>21.45</v>
      </c>
      <c r="AK199" s="8">
        <v>19.48</v>
      </c>
      <c r="AL199" s="8">
        <v>1.97</v>
      </c>
      <c r="AM199" s="8" t="s">
        <v>87</v>
      </c>
      <c r="AN199" s="8" t="s">
        <v>87</v>
      </c>
      <c r="AO199" s="8">
        <v>0</v>
      </c>
      <c r="AP199" s="8">
        <v>0</v>
      </c>
      <c r="AQ199" s="8"/>
      <c r="AR199" s="8">
        <v>2</v>
      </c>
      <c r="AS199" s="8">
        <v>1.63</v>
      </c>
      <c r="AT199" s="54"/>
      <c r="AU199" s="54" t="s">
        <v>47</v>
      </c>
    </row>
    <row r="200" spans="1:47" ht="49.95" customHeight="1" x14ac:dyDescent="0.25">
      <c r="A200" s="8">
        <f>SUBTOTAL(3, $J$2:J200)</f>
        <v>194</v>
      </c>
      <c r="B200" s="8" t="s">
        <v>126</v>
      </c>
      <c r="C200" s="8" t="s">
        <v>47</v>
      </c>
      <c r="D200" s="8">
        <v>43.614488999999999</v>
      </c>
      <c r="E200" s="8">
        <v>18.905125000000002</v>
      </c>
      <c r="F200" s="8">
        <v>2510</v>
      </c>
      <c r="G200" s="8">
        <v>2510</v>
      </c>
      <c r="H200" s="8" t="s">
        <v>903</v>
      </c>
      <c r="I200" s="8" t="s">
        <v>904</v>
      </c>
      <c r="J200" s="27">
        <v>111240021</v>
      </c>
      <c r="K200" s="8" t="s">
        <v>47</v>
      </c>
      <c r="L200" s="9">
        <f>1.15*Table1[[#This Row],[القيمة]]</f>
        <v>31563992.499999996</v>
      </c>
      <c r="M200" s="24" t="s">
        <v>905</v>
      </c>
      <c r="N200" s="25">
        <v>27446950</v>
      </c>
      <c r="O200" s="20" t="s">
        <v>906</v>
      </c>
      <c r="P200" s="11" t="s">
        <v>96</v>
      </c>
      <c r="Q200" s="11" t="s">
        <v>653</v>
      </c>
      <c r="R200" s="8" t="s">
        <v>596</v>
      </c>
      <c r="S200" s="24" t="s">
        <v>878</v>
      </c>
      <c r="T200" s="26" t="s">
        <v>60</v>
      </c>
      <c r="U200" s="8" t="s">
        <v>625</v>
      </c>
      <c r="V200" s="8" t="s">
        <v>655</v>
      </c>
      <c r="W200" s="8" t="s">
        <v>105</v>
      </c>
      <c r="X200" s="8" t="s">
        <v>75</v>
      </c>
      <c r="Y200" s="14">
        <v>45468</v>
      </c>
      <c r="Z200" s="14">
        <v>46619</v>
      </c>
      <c r="AA200" s="8"/>
      <c r="AB200" s="10" t="s">
        <v>879</v>
      </c>
      <c r="AC200" s="10" t="s">
        <v>91</v>
      </c>
      <c r="AD200" s="12">
        <f>Table1[[#This Row],[القيمة]]</f>
        <v>27446950</v>
      </c>
      <c r="AE200" s="8" t="s">
        <v>625</v>
      </c>
      <c r="AF200" s="8"/>
      <c r="AG200" s="26"/>
      <c r="AH200" s="8"/>
      <c r="AI200" s="8" t="s">
        <v>133</v>
      </c>
      <c r="AJ200" s="8">
        <v>55.72</v>
      </c>
      <c r="AK200" s="8">
        <v>58.05</v>
      </c>
      <c r="AL200" s="8">
        <v>-2.33</v>
      </c>
      <c r="AM200" s="8" t="s">
        <v>105</v>
      </c>
      <c r="AN200" s="8" t="s">
        <v>105</v>
      </c>
      <c r="AO200" s="8">
        <v>0</v>
      </c>
      <c r="AP200" s="8">
        <v>2</v>
      </c>
      <c r="AQ200" s="8"/>
      <c r="AR200" s="8">
        <v>24</v>
      </c>
      <c r="AS200" s="8">
        <v>-0.68</v>
      </c>
      <c r="AT200" s="54"/>
      <c r="AU200" s="54"/>
    </row>
    <row r="201" spans="1:47" ht="49.95" customHeight="1" x14ac:dyDescent="0.25">
      <c r="A201" s="8">
        <f>SUBTOTAL(3, $J$2:J201)</f>
        <v>195</v>
      </c>
      <c r="B201" s="8" t="s">
        <v>126</v>
      </c>
      <c r="C201" s="8" t="s">
        <v>47</v>
      </c>
      <c r="D201" s="8">
        <v>43.657083</v>
      </c>
      <c r="E201" s="8">
        <v>18.720782</v>
      </c>
      <c r="F201" s="8">
        <v>710</v>
      </c>
      <c r="G201" s="8">
        <v>710</v>
      </c>
      <c r="H201" s="8" t="s">
        <v>907</v>
      </c>
      <c r="I201" s="8" t="s">
        <v>908</v>
      </c>
      <c r="J201" s="27">
        <v>111240020</v>
      </c>
      <c r="K201" s="8" t="s">
        <v>47</v>
      </c>
      <c r="L201" s="9">
        <f>1.15*Table1[[#This Row],[القيمة]]</f>
        <v>12299124.649999999</v>
      </c>
      <c r="M201" s="24" t="s">
        <v>909</v>
      </c>
      <c r="N201" s="25">
        <v>10694891</v>
      </c>
      <c r="O201" s="20" t="s">
        <v>910</v>
      </c>
      <c r="P201" s="11" t="s">
        <v>96</v>
      </c>
      <c r="Q201" s="11" t="s">
        <v>653</v>
      </c>
      <c r="R201" s="8" t="s">
        <v>596</v>
      </c>
      <c r="S201" s="24" t="s">
        <v>878</v>
      </c>
      <c r="T201" s="26" t="s">
        <v>60</v>
      </c>
      <c r="U201" s="8" t="s">
        <v>625</v>
      </c>
      <c r="V201" s="8" t="s">
        <v>655</v>
      </c>
      <c r="W201" s="8" t="s">
        <v>105</v>
      </c>
      <c r="X201" s="8" t="s">
        <v>75</v>
      </c>
      <c r="Y201" s="14">
        <v>45399</v>
      </c>
      <c r="Z201" s="14">
        <v>46481</v>
      </c>
      <c r="AA201" s="8"/>
      <c r="AB201" s="10" t="s">
        <v>879</v>
      </c>
      <c r="AC201" s="10" t="s">
        <v>91</v>
      </c>
      <c r="AD201" s="12">
        <f>Table1[[#This Row],[القيمة]]</f>
        <v>10694891</v>
      </c>
      <c r="AE201" s="8" t="s">
        <v>625</v>
      </c>
      <c r="AF201" s="8"/>
      <c r="AG201" s="26"/>
      <c r="AH201" s="8"/>
      <c r="AI201" s="8" t="s">
        <v>133</v>
      </c>
      <c r="AJ201" s="8">
        <v>85.49</v>
      </c>
      <c r="AK201" s="8">
        <v>88.03</v>
      </c>
      <c r="AL201" s="8">
        <v>-2.54</v>
      </c>
      <c r="AM201" s="8" t="s">
        <v>105</v>
      </c>
      <c r="AN201" s="8" t="s">
        <v>105</v>
      </c>
      <c r="AO201" s="8">
        <v>0</v>
      </c>
      <c r="AP201" s="8">
        <v>1</v>
      </c>
      <c r="AQ201" s="8"/>
      <c r="AR201" s="8">
        <v>3</v>
      </c>
      <c r="AS201" s="8">
        <v>-2.36</v>
      </c>
      <c r="AT201" s="54"/>
      <c r="AU201" s="54"/>
    </row>
    <row r="202" spans="1:47" ht="49.95" customHeight="1" x14ac:dyDescent="0.25">
      <c r="A202" s="8">
        <f>SUBTOTAL(3, $J$2:J202)</f>
        <v>196</v>
      </c>
      <c r="B202" s="8" t="s">
        <v>91</v>
      </c>
      <c r="C202" s="8" t="s">
        <v>47</v>
      </c>
      <c r="D202" s="8">
        <v>42.712933999999997</v>
      </c>
      <c r="E202" s="8">
        <v>18.375691</v>
      </c>
      <c r="F202" s="8">
        <v>132973</v>
      </c>
      <c r="G202" s="8">
        <v>50081</v>
      </c>
      <c r="H202" s="8" t="s">
        <v>911</v>
      </c>
      <c r="I202" s="8" t="s">
        <v>912</v>
      </c>
      <c r="J202" s="27">
        <v>111230392</v>
      </c>
      <c r="K202" s="8" t="s">
        <v>47</v>
      </c>
      <c r="L202" s="9">
        <f>1.15*Table1[[#This Row],[القيمة]]</f>
        <v>30180858.749999996</v>
      </c>
      <c r="M202" s="24" t="s">
        <v>913</v>
      </c>
      <c r="N202" s="25">
        <v>26244225</v>
      </c>
      <c r="O202" s="20" t="s">
        <v>914</v>
      </c>
      <c r="P202" s="11" t="s">
        <v>96</v>
      </c>
      <c r="Q202" s="11" t="s">
        <v>633</v>
      </c>
      <c r="R202" s="8" t="s">
        <v>596</v>
      </c>
      <c r="S202" s="24" t="s">
        <v>829</v>
      </c>
      <c r="T202" s="26" t="s">
        <v>60</v>
      </c>
      <c r="U202" s="8" t="s">
        <v>597</v>
      </c>
      <c r="V202" s="8" t="s">
        <v>597</v>
      </c>
      <c r="W202" s="8" t="s">
        <v>87</v>
      </c>
      <c r="X202" s="8" t="s">
        <v>75</v>
      </c>
      <c r="Y202" s="14">
        <v>45372</v>
      </c>
      <c r="Z202" s="14">
        <v>46984</v>
      </c>
      <c r="AA202" s="8"/>
      <c r="AB202" s="10" t="s">
        <v>830</v>
      </c>
      <c r="AC202" s="10" t="s">
        <v>91</v>
      </c>
      <c r="AD202" s="12">
        <f>Table1[[#This Row],[القيمة]]</f>
        <v>26244225</v>
      </c>
      <c r="AE202" s="8" t="s">
        <v>597</v>
      </c>
      <c r="AF202" s="8"/>
      <c r="AG202" s="26"/>
      <c r="AH202" s="8"/>
      <c r="AI202" s="8" t="s">
        <v>114</v>
      </c>
      <c r="AJ202" s="8">
        <v>34.99</v>
      </c>
      <c r="AK202" s="8">
        <v>34.97</v>
      </c>
      <c r="AL202" s="8">
        <v>0.02</v>
      </c>
      <c r="AM202" s="8" t="s">
        <v>105</v>
      </c>
      <c r="AN202" s="8" t="s">
        <v>105</v>
      </c>
      <c r="AO202" s="8">
        <v>0</v>
      </c>
      <c r="AP202" s="8">
        <v>0</v>
      </c>
      <c r="AQ202" s="8"/>
      <c r="AR202" s="8" t="s">
        <v>635</v>
      </c>
      <c r="AS202" s="8">
        <v>-0.22</v>
      </c>
      <c r="AT202" s="54"/>
      <c r="AU202" s="54" t="s">
        <v>47</v>
      </c>
    </row>
    <row r="203" spans="1:47" ht="49.95" customHeight="1" x14ac:dyDescent="0.25">
      <c r="A203" s="8">
        <f>SUBTOTAL(3, $J$2:J203)</f>
        <v>197</v>
      </c>
      <c r="B203" s="8" t="s">
        <v>91</v>
      </c>
      <c r="C203" s="8" t="s">
        <v>47</v>
      </c>
      <c r="D203" s="8">
        <v>42.698723999999999</v>
      </c>
      <c r="E203" s="8">
        <v>18.359345999999999</v>
      </c>
      <c r="F203" s="8">
        <v>13500</v>
      </c>
      <c r="G203" s="8">
        <v>12683</v>
      </c>
      <c r="H203" s="8" t="s">
        <v>915</v>
      </c>
      <c r="I203" s="8" t="s">
        <v>916</v>
      </c>
      <c r="J203" s="27">
        <v>111230371</v>
      </c>
      <c r="K203" s="8" t="s">
        <v>47</v>
      </c>
      <c r="L203" s="9">
        <f>1.15*Table1[[#This Row],[القيمة]]</f>
        <v>86353500</v>
      </c>
      <c r="M203" s="106" t="s">
        <v>917</v>
      </c>
      <c r="N203" s="25">
        <v>75090000</v>
      </c>
      <c r="O203" s="20" t="s">
        <v>918</v>
      </c>
      <c r="P203" s="11" t="s">
        <v>96</v>
      </c>
      <c r="Q203" s="11" t="s">
        <v>633</v>
      </c>
      <c r="R203" s="8" t="s">
        <v>596</v>
      </c>
      <c r="S203" s="106" t="s">
        <v>98</v>
      </c>
      <c r="T203" s="26" t="s">
        <v>60</v>
      </c>
      <c r="U203" s="8" t="s">
        <v>601</v>
      </c>
      <c r="V203" s="8" t="s">
        <v>678</v>
      </c>
      <c r="W203" s="8" t="s">
        <v>87</v>
      </c>
      <c r="X203" s="8" t="s">
        <v>75</v>
      </c>
      <c r="Y203" s="14">
        <v>45370</v>
      </c>
      <c r="Z203" s="14">
        <v>46830</v>
      </c>
      <c r="AA203" s="8"/>
      <c r="AB203" s="10" t="s">
        <v>59</v>
      </c>
      <c r="AC203" s="10" t="s">
        <v>91</v>
      </c>
      <c r="AD203" s="12">
        <f>Table1[[#This Row],[القيمة]]</f>
        <v>75090000</v>
      </c>
      <c r="AE203" s="19" t="s">
        <v>601</v>
      </c>
      <c r="AF203" s="8"/>
      <c r="AG203" s="26"/>
      <c r="AH203" s="8"/>
      <c r="AI203" s="8" t="s">
        <v>60</v>
      </c>
      <c r="AJ203" s="8">
        <v>58.21</v>
      </c>
      <c r="AK203" s="8">
        <v>55.15</v>
      </c>
      <c r="AL203" s="8">
        <v>3.06</v>
      </c>
      <c r="AM203" s="8" t="s">
        <v>87</v>
      </c>
      <c r="AN203" s="8" t="s">
        <v>87</v>
      </c>
      <c r="AO203" s="8">
        <v>0</v>
      </c>
      <c r="AP203" s="8">
        <v>1</v>
      </c>
      <c r="AQ203" s="8"/>
      <c r="AR203" s="8">
        <v>28</v>
      </c>
      <c r="AS203" s="8">
        <v>1.67</v>
      </c>
      <c r="AT203" s="54"/>
      <c r="AU203" s="54"/>
    </row>
    <row r="204" spans="1:47" ht="49.95" customHeight="1" x14ac:dyDescent="0.25">
      <c r="A204" s="8">
        <f>SUBTOTAL(3, $J$2:J204)</f>
        <v>198</v>
      </c>
      <c r="B204" s="8" t="s">
        <v>126</v>
      </c>
      <c r="C204" s="8" t="s">
        <v>47</v>
      </c>
      <c r="D204" s="8">
        <v>43.203569999999999</v>
      </c>
      <c r="E204" s="8">
        <v>18.566490999999999</v>
      </c>
      <c r="F204" s="8">
        <v>134900</v>
      </c>
      <c r="G204" s="8">
        <v>137453.39000000001</v>
      </c>
      <c r="H204" s="8" t="s">
        <v>919</v>
      </c>
      <c r="I204" s="8" t="s">
        <v>920</v>
      </c>
      <c r="J204" s="93">
        <v>111230370</v>
      </c>
      <c r="K204" s="8" t="s">
        <v>47</v>
      </c>
      <c r="L204" s="9">
        <f>1.15*Table1[[#This Row],[القيمة]]</f>
        <v>89170275.5</v>
      </c>
      <c r="M204" s="94" t="s">
        <v>921</v>
      </c>
      <c r="N204" s="95">
        <v>77539370</v>
      </c>
      <c r="O204" s="44" t="s">
        <v>922</v>
      </c>
      <c r="P204" s="11" t="s">
        <v>96</v>
      </c>
      <c r="Q204" s="11" t="s">
        <v>923</v>
      </c>
      <c r="R204" s="8" t="s">
        <v>596</v>
      </c>
      <c r="S204" s="94" t="s">
        <v>490</v>
      </c>
      <c r="T204" s="26" t="s">
        <v>60</v>
      </c>
      <c r="U204" s="8" t="s">
        <v>601</v>
      </c>
      <c r="V204" s="41" t="s">
        <v>288</v>
      </c>
      <c r="W204" s="8" t="s">
        <v>105</v>
      </c>
      <c r="X204" s="8" t="s">
        <v>75</v>
      </c>
      <c r="Y204" s="14">
        <v>45371</v>
      </c>
      <c r="Z204" s="14">
        <v>46878</v>
      </c>
      <c r="AA204" s="8"/>
      <c r="AB204" s="10" t="s">
        <v>491</v>
      </c>
      <c r="AC204" s="10" t="s">
        <v>91</v>
      </c>
      <c r="AD204" s="12">
        <f>Table1[[#This Row],[القيمة]]</f>
        <v>77539370</v>
      </c>
      <c r="AE204" s="19" t="s">
        <v>601</v>
      </c>
      <c r="AF204" s="8"/>
      <c r="AG204" s="26"/>
      <c r="AH204" s="8"/>
      <c r="AI204" s="8" t="s">
        <v>133</v>
      </c>
      <c r="AJ204" s="8">
        <v>56.14</v>
      </c>
      <c r="AK204" s="8">
        <v>57.34</v>
      </c>
      <c r="AL204" s="8">
        <v>-1.2</v>
      </c>
      <c r="AM204" s="8" t="s">
        <v>105</v>
      </c>
      <c r="AN204" s="8" t="s">
        <v>105</v>
      </c>
      <c r="AO204" s="8">
        <v>0</v>
      </c>
      <c r="AP204" s="8">
        <v>1</v>
      </c>
      <c r="AQ204" s="8"/>
      <c r="AR204" s="8">
        <v>32</v>
      </c>
      <c r="AS204" s="8">
        <v>-0.83</v>
      </c>
      <c r="AT204" s="54"/>
      <c r="AU204" s="54"/>
    </row>
    <row r="205" spans="1:47" ht="49.95" customHeight="1" x14ac:dyDescent="0.25">
      <c r="A205" s="8">
        <f>SUBTOTAL(3, $J$2:J205)</f>
        <v>199</v>
      </c>
      <c r="B205" s="8" t="s">
        <v>91</v>
      </c>
      <c r="C205" s="8" t="s">
        <v>47</v>
      </c>
      <c r="D205" s="8">
        <v>42.696252999999999</v>
      </c>
      <c r="E205" s="8">
        <v>19.994965000000001</v>
      </c>
      <c r="F205" s="8">
        <v>79475</v>
      </c>
      <c r="G205" s="8">
        <v>25170</v>
      </c>
      <c r="H205" s="8" t="s">
        <v>924</v>
      </c>
      <c r="I205" s="8" t="s">
        <v>925</v>
      </c>
      <c r="J205" s="27">
        <v>111230369</v>
      </c>
      <c r="K205" s="8" t="s">
        <v>47</v>
      </c>
      <c r="L205" s="9">
        <f>1.15*Table1[[#This Row],[القيمة]]</f>
        <v>34500000</v>
      </c>
      <c r="M205" s="24" t="s">
        <v>926</v>
      </c>
      <c r="N205" s="25">
        <v>30000000</v>
      </c>
      <c r="O205" s="20" t="s">
        <v>927</v>
      </c>
      <c r="P205" s="11" t="s">
        <v>96</v>
      </c>
      <c r="Q205" s="11" t="s">
        <v>819</v>
      </c>
      <c r="R205" s="8" t="s">
        <v>596</v>
      </c>
      <c r="S205" s="24" t="s">
        <v>624</v>
      </c>
      <c r="T205" s="26" t="s">
        <v>60</v>
      </c>
      <c r="U205" s="8" t="s">
        <v>718</v>
      </c>
      <c r="V205" s="8" t="s">
        <v>718</v>
      </c>
      <c r="W205" s="8" t="s">
        <v>87</v>
      </c>
      <c r="X205" s="8" t="s">
        <v>75</v>
      </c>
      <c r="Y205" s="14">
        <v>45397</v>
      </c>
      <c r="Z205" s="14">
        <v>46978</v>
      </c>
      <c r="AA205" s="8"/>
      <c r="AB205" s="10" t="s">
        <v>626</v>
      </c>
      <c r="AC205" s="10" t="s">
        <v>91</v>
      </c>
      <c r="AD205" s="12">
        <f>Table1[[#This Row],[القيمة]]</f>
        <v>30000000</v>
      </c>
      <c r="AE205" s="8" t="s">
        <v>718</v>
      </c>
      <c r="AF205" s="8"/>
      <c r="AG205" s="26"/>
      <c r="AH205" s="8"/>
      <c r="AI205" s="8" t="s">
        <v>114</v>
      </c>
      <c r="AJ205" s="8">
        <v>38.520000000000003</v>
      </c>
      <c r="AK205" s="8">
        <v>37.43</v>
      </c>
      <c r="AL205" s="8">
        <v>1.0900000000000001</v>
      </c>
      <c r="AM205" s="8" t="s">
        <v>87</v>
      </c>
      <c r="AN205" s="8" t="s">
        <v>87</v>
      </c>
      <c r="AO205" s="8">
        <v>0</v>
      </c>
      <c r="AP205" s="8">
        <v>0</v>
      </c>
      <c r="AQ205" s="8"/>
      <c r="AR205" s="8">
        <v>42</v>
      </c>
      <c r="AS205" s="8">
        <v>0.88</v>
      </c>
      <c r="AT205" s="54"/>
      <c r="AU205" s="54"/>
    </row>
    <row r="206" spans="1:47" ht="49.95" customHeight="1" x14ac:dyDescent="0.25">
      <c r="A206" s="8">
        <f>SUBTOTAL(3, $J$2:J206)</f>
        <v>200</v>
      </c>
      <c r="B206" s="8" t="s">
        <v>91</v>
      </c>
      <c r="C206" s="8" t="s">
        <v>47</v>
      </c>
      <c r="D206" s="8">
        <v>42.590350000000001</v>
      </c>
      <c r="E206" s="8">
        <v>19.952770000000001</v>
      </c>
      <c r="F206" s="8">
        <v>3120</v>
      </c>
      <c r="G206" s="8">
        <v>2500</v>
      </c>
      <c r="H206" s="8" t="s">
        <v>928</v>
      </c>
      <c r="I206" s="8" t="s">
        <v>929</v>
      </c>
      <c r="J206" s="27">
        <v>111230368</v>
      </c>
      <c r="K206" s="8" t="s">
        <v>47</v>
      </c>
      <c r="L206" s="9">
        <f>1.15*Table1[[#This Row],[القيمة]]</f>
        <v>26314989.999999996</v>
      </c>
      <c r="M206" s="24" t="s">
        <v>930</v>
      </c>
      <c r="N206" s="25">
        <v>22882600</v>
      </c>
      <c r="O206" s="20" t="s">
        <v>931</v>
      </c>
      <c r="P206" s="11" t="s">
        <v>96</v>
      </c>
      <c r="Q206" s="11" t="s">
        <v>819</v>
      </c>
      <c r="R206" s="8" t="s">
        <v>596</v>
      </c>
      <c r="S206" s="24" t="s">
        <v>327</v>
      </c>
      <c r="T206" s="26" t="s">
        <v>60</v>
      </c>
      <c r="U206" s="8" t="s">
        <v>718</v>
      </c>
      <c r="V206" s="8" t="s">
        <v>718</v>
      </c>
      <c r="W206" s="8" t="s">
        <v>87</v>
      </c>
      <c r="X206" s="8" t="s">
        <v>75</v>
      </c>
      <c r="Y206" s="14">
        <v>45357</v>
      </c>
      <c r="Z206" s="14">
        <v>46807</v>
      </c>
      <c r="AA206" s="8"/>
      <c r="AB206" s="10" t="s">
        <v>327</v>
      </c>
      <c r="AC206" s="10" t="s">
        <v>91</v>
      </c>
      <c r="AD206" s="12">
        <f>Table1[[#This Row],[القيمة]]</f>
        <v>22882600</v>
      </c>
      <c r="AE206" s="8" t="s">
        <v>718</v>
      </c>
      <c r="AF206" s="8"/>
      <c r="AG206" s="26"/>
      <c r="AH206" s="8"/>
      <c r="AI206" s="8" t="s">
        <v>114</v>
      </c>
      <c r="AJ206" s="8">
        <v>55.56</v>
      </c>
      <c r="AK206" s="8">
        <v>55.13</v>
      </c>
      <c r="AL206" s="8">
        <v>0.43</v>
      </c>
      <c r="AM206" s="8" t="s">
        <v>87</v>
      </c>
      <c r="AN206" s="8" t="s">
        <v>87</v>
      </c>
      <c r="AO206" s="8">
        <v>0</v>
      </c>
      <c r="AP206" s="8">
        <v>0</v>
      </c>
      <c r="AQ206" s="8"/>
      <c r="AR206" s="8">
        <v>4</v>
      </c>
      <c r="AS206" s="8">
        <v>1.4</v>
      </c>
      <c r="AT206" s="54"/>
      <c r="AU206" s="54"/>
    </row>
    <row r="207" spans="1:47" ht="49.95" customHeight="1" x14ac:dyDescent="0.25">
      <c r="A207" s="8">
        <f>SUBTOTAL(3, $J$2:J207)</f>
        <v>201</v>
      </c>
      <c r="B207" s="8" t="s">
        <v>91</v>
      </c>
      <c r="C207" s="8" t="s">
        <v>47</v>
      </c>
      <c r="D207" s="8">
        <v>42.771185000000003</v>
      </c>
      <c r="E207" s="8">
        <v>18.332027</v>
      </c>
      <c r="F207" s="8">
        <v>105397</v>
      </c>
      <c r="G207" s="8">
        <v>34153</v>
      </c>
      <c r="H207" s="8" t="s">
        <v>932</v>
      </c>
      <c r="I207" s="8" t="s">
        <v>933</v>
      </c>
      <c r="J207" s="27">
        <v>111230365</v>
      </c>
      <c r="K207" s="8" t="s">
        <v>47</v>
      </c>
      <c r="L207" s="9">
        <f>1.15*Table1[[#This Row],[القيمة]]</f>
        <v>57431230.114999995</v>
      </c>
      <c r="M207" s="24" t="s">
        <v>934</v>
      </c>
      <c r="N207" s="25">
        <v>49940200.100000001</v>
      </c>
      <c r="O207" s="20" t="s">
        <v>935</v>
      </c>
      <c r="P207" s="11" t="s">
        <v>96</v>
      </c>
      <c r="Q207" s="11" t="s">
        <v>633</v>
      </c>
      <c r="R207" s="8" t="s">
        <v>596</v>
      </c>
      <c r="S207" s="24" t="s">
        <v>194</v>
      </c>
      <c r="T207" s="26" t="s">
        <v>60</v>
      </c>
      <c r="U207" s="8" t="s">
        <v>597</v>
      </c>
      <c r="V207" s="8" t="s">
        <v>597</v>
      </c>
      <c r="W207" s="8" t="s">
        <v>87</v>
      </c>
      <c r="X207" s="8" t="s">
        <v>75</v>
      </c>
      <c r="Y207" s="14">
        <v>45349</v>
      </c>
      <c r="Z207" s="14">
        <v>46947</v>
      </c>
      <c r="AA207" s="8"/>
      <c r="AB207" s="10" t="s">
        <v>195</v>
      </c>
      <c r="AC207" s="10" t="s">
        <v>91</v>
      </c>
      <c r="AD207" s="12">
        <f>Table1[[#This Row],[القيمة]]</f>
        <v>49940200.100000001</v>
      </c>
      <c r="AE207" s="8" t="s">
        <v>597</v>
      </c>
      <c r="AF207" s="8"/>
      <c r="AG207" s="26"/>
      <c r="AH207" s="8"/>
      <c r="AI207" s="8" t="s">
        <v>114</v>
      </c>
      <c r="AJ207" s="8">
        <v>35.1</v>
      </c>
      <c r="AK207" s="8">
        <v>33.85</v>
      </c>
      <c r="AL207" s="8">
        <v>1.25</v>
      </c>
      <c r="AM207" s="8" t="s">
        <v>105</v>
      </c>
      <c r="AN207" s="8" t="s">
        <v>105</v>
      </c>
      <c r="AO207" s="8">
        <v>0</v>
      </c>
      <c r="AP207" s="8">
        <v>0</v>
      </c>
      <c r="AQ207" s="8"/>
      <c r="AR207" s="8" t="s">
        <v>635</v>
      </c>
      <c r="AS207" s="8">
        <v>-0.1</v>
      </c>
      <c r="AT207" s="54"/>
      <c r="AU207" s="54" t="s">
        <v>47</v>
      </c>
    </row>
    <row r="208" spans="1:47" ht="49.95" customHeight="1" x14ac:dyDescent="0.25">
      <c r="A208" s="8">
        <f>SUBTOTAL(3, $J$2:J208)</f>
        <v>202</v>
      </c>
      <c r="B208" s="8" t="s">
        <v>91</v>
      </c>
      <c r="C208" s="8" t="s">
        <v>47</v>
      </c>
      <c r="D208" s="8">
        <v>42.723618999999999</v>
      </c>
      <c r="E208" s="8">
        <v>18.249987000000001</v>
      </c>
      <c r="F208" s="8">
        <v>43305</v>
      </c>
      <c r="G208" s="8">
        <v>41795.5</v>
      </c>
      <c r="H208" s="8" t="s">
        <v>936</v>
      </c>
      <c r="I208" s="8" t="s">
        <v>937</v>
      </c>
      <c r="J208" s="27">
        <v>111230353</v>
      </c>
      <c r="K208" s="8" t="s">
        <v>47</v>
      </c>
      <c r="L208" s="9">
        <f>1.15*Table1[[#This Row],[القيمة]]</f>
        <v>23471137.75</v>
      </c>
      <c r="M208" s="24" t="s">
        <v>938</v>
      </c>
      <c r="N208" s="25">
        <v>20409685</v>
      </c>
      <c r="O208" s="20" t="s">
        <v>939</v>
      </c>
      <c r="P208" s="11" t="s">
        <v>96</v>
      </c>
      <c r="Q208" s="11" t="s">
        <v>633</v>
      </c>
      <c r="R208" s="8" t="s">
        <v>596</v>
      </c>
      <c r="S208" s="24" t="s">
        <v>282</v>
      </c>
      <c r="T208" s="26" t="s">
        <v>60</v>
      </c>
      <c r="U208" s="8" t="s">
        <v>601</v>
      </c>
      <c r="V208" s="8" t="s">
        <v>678</v>
      </c>
      <c r="W208" s="8" t="s">
        <v>87</v>
      </c>
      <c r="X208" s="8" t="s">
        <v>75</v>
      </c>
      <c r="Y208" s="14">
        <v>45335</v>
      </c>
      <c r="Z208" s="14">
        <v>46897</v>
      </c>
      <c r="AA208" s="8"/>
      <c r="AB208" s="10" t="s">
        <v>282</v>
      </c>
      <c r="AC208" s="10" t="s">
        <v>91</v>
      </c>
      <c r="AD208" s="12">
        <f>Table1[[#This Row],[القيمة]]</f>
        <v>20409685</v>
      </c>
      <c r="AE208" s="19" t="s">
        <v>601</v>
      </c>
      <c r="AF208" s="8"/>
      <c r="AG208" s="26"/>
      <c r="AH208" s="8"/>
      <c r="AI208" s="8" t="s">
        <v>60</v>
      </c>
      <c r="AJ208" s="8">
        <v>56.77</v>
      </c>
      <c r="AK208" s="8">
        <v>55.16</v>
      </c>
      <c r="AL208" s="8">
        <v>1.61</v>
      </c>
      <c r="AM208" s="8" t="s">
        <v>87</v>
      </c>
      <c r="AN208" s="8" t="s">
        <v>87</v>
      </c>
      <c r="AO208" s="8">
        <v>0</v>
      </c>
      <c r="AP208" s="8">
        <v>0</v>
      </c>
      <c r="AQ208" s="8"/>
      <c r="AR208" s="8">
        <v>24</v>
      </c>
      <c r="AS208" s="8">
        <v>0.77</v>
      </c>
      <c r="AT208" s="54"/>
      <c r="AU208" s="54"/>
    </row>
    <row r="209" spans="1:47" ht="49.95" customHeight="1" x14ac:dyDescent="0.25">
      <c r="A209" s="8">
        <f>SUBTOTAL(3, $J$2:J209)</f>
        <v>203</v>
      </c>
      <c r="B209" s="8" t="s">
        <v>91</v>
      </c>
      <c r="C209" s="8" t="s">
        <v>47</v>
      </c>
      <c r="D209" s="8">
        <v>42.809457000000002</v>
      </c>
      <c r="E209" s="8">
        <v>18.229485</v>
      </c>
      <c r="F209" s="8">
        <v>93605</v>
      </c>
      <c r="G209" s="8">
        <v>30270</v>
      </c>
      <c r="H209" s="8" t="s">
        <v>940</v>
      </c>
      <c r="I209" s="8" t="s">
        <v>941</v>
      </c>
      <c r="J209" s="100">
        <v>111230352</v>
      </c>
      <c r="K209" s="8" t="s">
        <v>47</v>
      </c>
      <c r="L209" s="9">
        <f>1.15*Table1[[#This Row],[القيمة]]</f>
        <v>52841982.499999993</v>
      </c>
      <c r="M209" s="107" t="s">
        <v>942</v>
      </c>
      <c r="N209" s="109">
        <v>45949550</v>
      </c>
      <c r="O209" s="44" t="s">
        <v>943</v>
      </c>
      <c r="P209" s="11" t="s">
        <v>96</v>
      </c>
      <c r="Q209" s="11" t="s">
        <v>633</v>
      </c>
      <c r="R209" s="8" t="s">
        <v>596</v>
      </c>
      <c r="S209" s="111" t="s">
        <v>872</v>
      </c>
      <c r="T209" s="97" t="s">
        <v>60</v>
      </c>
      <c r="U209" s="8" t="s">
        <v>689</v>
      </c>
      <c r="V209" s="41" t="s">
        <v>288</v>
      </c>
      <c r="W209" s="8" t="s">
        <v>87</v>
      </c>
      <c r="X209" s="8" t="s">
        <v>75</v>
      </c>
      <c r="Y209" s="14">
        <v>45343</v>
      </c>
      <c r="Z209" s="14">
        <v>46861</v>
      </c>
      <c r="AA209" s="8"/>
      <c r="AB209" s="10" t="s">
        <v>873</v>
      </c>
      <c r="AC209" s="10" t="s">
        <v>91</v>
      </c>
      <c r="AD209" s="12">
        <f>Table1[[#This Row],[القيمة]]</f>
        <v>45949550</v>
      </c>
      <c r="AE209" s="41" t="s">
        <v>689</v>
      </c>
      <c r="AF209" s="8"/>
      <c r="AG209" s="97"/>
      <c r="AH209" s="8"/>
      <c r="AI209" s="8" t="s">
        <v>60</v>
      </c>
      <c r="AJ209" s="8">
        <v>34.79</v>
      </c>
      <c r="AK209" s="8">
        <v>33.35</v>
      </c>
      <c r="AL209" s="8">
        <v>1.44</v>
      </c>
      <c r="AM209" s="8" t="s">
        <v>87</v>
      </c>
      <c r="AN209" s="8" t="s">
        <v>87</v>
      </c>
      <c r="AO209" s="8">
        <v>0</v>
      </c>
      <c r="AP209" s="8">
        <v>0</v>
      </c>
      <c r="AQ209" s="8"/>
      <c r="AR209" s="8">
        <v>41</v>
      </c>
      <c r="AS209" s="8">
        <v>-0.54</v>
      </c>
      <c r="AT209" s="54"/>
      <c r="AU209" s="54"/>
    </row>
    <row r="210" spans="1:47" ht="49.95" customHeight="1" x14ac:dyDescent="0.25">
      <c r="A210" s="8">
        <f>SUBTOTAL(3, $J$2:J210)</f>
        <v>204</v>
      </c>
      <c r="B210" s="8" t="s">
        <v>126</v>
      </c>
      <c r="C210" s="8" t="s">
        <v>47</v>
      </c>
      <c r="D210" s="8">
        <v>44.270090000000003</v>
      </c>
      <c r="E210" s="8">
        <v>19.182589</v>
      </c>
      <c r="F210" s="8">
        <v>2245</v>
      </c>
      <c r="G210" s="8">
        <v>2245</v>
      </c>
      <c r="H210" s="8" t="s">
        <v>944</v>
      </c>
      <c r="I210" s="8" t="s">
        <v>945</v>
      </c>
      <c r="J210" s="30">
        <v>111230350</v>
      </c>
      <c r="K210" s="8" t="s">
        <v>47</v>
      </c>
      <c r="L210" s="9">
        <f>1.15*Table1[[#This Row],[القيمة]]</f>
        <v>28000182.749999996</v>
      </c>
      <c r="M210" s="106" t="s">
        <v>946</v>
      </c>
      <c r="N210" s="108">
        <v>24347985</v>
      </c>
      <c r="O210" s="20" t="s">
        <v>947</v>
      </c>
      <c r="P210" s="11" t="s">
        <v>96</v>
      </c>
      <c r="Q210" s="11" t="s">
        <v>653</v>
      </c>
      <c r="R210" s="8" t="s">
        <v>596</v>
      </c>
      <c r="S210" s="106" t="s">
        <v>327</v>
      </c>
      <c r="T210" s="97" t="s">
        <v>60</v>
      </c>
      <c r="U210" s="8" t="s">
        <v>625</v>
      </c>
      <c r="V210" s="8" t="s">
        <v>655</v>
      </c>
      <c r="W210" s="8" t="s">
        <v>105</v>
      </c>
      <c r="X210" s="8" t="s">
        <v>75</v>
      </c>
      <c r="Y210" s="14">
        <v>45356</v>
      </c>
      <c r="Z210" s="14">
        <v>46906</v>
      </c>
      <c r="AA210" s="8"/>
      <c r="AB210" s="10" t="s">
        <v>327</v>
      </c>
      <c r="AC210" s="10" t="s">
        <v>91</v>
      </c>
      <c r="AD210" s="12">
        <f>Table1[[#This Row],[القيمة]]</f>
        <v>24347985</v>
      </c>
      <c r="AE210" s="8" t="s">
        <v>625</v>
      </c>
      <c r="AF210" s="8"/>
      <c r="AG210" s="97"/>
      <c r="AH210" s="8"/>
      <c r="AI210" s="8" t="s">
        <v>133</v>
      </c>
      <c r="AJ210" s="8">
        <v>40.700000000000003</v>
      </c>
      <c r="AK210" s="8">
        <v>45.77</v>
      </c>
      <c r="AL210" s="8">
        <v>-5.07</v>
      </c>
      <c r="AM210" s="8" t="s">
        <v>105</v>
      </c>
      <c r="AN210" s="8" t="s">
        <v>105</v>
      </c>
      <c r="AO210" s="8">
        <v>0</v>
      </c>
      <c r="AP210" s="8">
        <v>2</v>
      </c>
      <c r="AQ210" s="8"/>
      <c r="AR210" s="8">
        <v>5</v>
      </c>
      <c r="AS210" s="8">
        <v>-0.75</v>
      </c>
      <c r="AT210" s="54"/>
      <c r="AU210" s="54"/>
    </row>
    <row r="211" spans="1:47" ht="49.95" customHeight="1" x14ac:dyDescent="0.25">
      <c r="A211" s="8">
        <f>SUBTOTAL(3, $J$2:J211)</f>
        <v>205</v>
      </c>
      <c r="B211" s="8" t="s">
        <v>91</v>
      </c>
      <c r="C211" s="8" t="s">
        <v>47</v>
      </c>
      <c r="D211" s="8">
        <v>43.132016</v>
      </c>
      <c r="E211" s="8">
        <v>18.089496</v>
      </c>
      <c r="F211" s="8">
        <v>183575</v>
      </c>
      <c r="G211" s="8">
        <v>73359</v>
      </c>
      <c r="H211" s="8" t="s">
        <v>948</v>
      </c>
      <c r="I211" s="8" t="s">
        <v>949</v>
      </c>
      <c r="J211" s="31">
        <v>111230349</v>
      </c>
      <c r="K211" s="8" t="s">
        <v>47</v>
      </c>
      <c r="L211" s="9">
        <f>1.15*Table1[[#This Row],[القيمة]]</f>
        <v>59532624.999999993</v>
      </c>
      <c r="M211" s="106" t="s">
        <v>950</v>
      </c>
      <c r="N211" s="108">
        <v>51767500</v>
      </c>
      <c r="O211" s="20" t="s">
        <v>951</v>
      </c>
      <c r="P211" s="11" t="s">
        <v>96</v>
      </c>
      <c r="Q211" s="11" t="s">
        <v>665</v>
      </c>
      <c r="R211" s="8" t="s">
        <v>596</v>
      </c>
      <c r="S211" s="106" t="s">
        <v>820</v>
      </c>
      <c r="T211" s="97" t="s">
        <v>60</v>
      </c>
      <c r="U211" s="8" t="s">
        <v>666</v>
      </c>
      <c r="V211" s="8" t="s">
        <v>666</v>
      </c>
      <c r="W211" s="8" t="s">
        <v>87</v>
      </c>
      <c r="X211" s="8" t="s">
        <v>75</v>
      </c>
      <c r="Y211" s="14">
        <v>45361</v>
      </c>
      <c r="Z211" s="14">
        <v>46936</v>
      </c>
      <c r="AA211" s="8"/>
      <c r="AB211" s="10" t="s">
        <v>820</v>
      </c>
      <c r="AC211" s="10" t="s">
        <v>91</v>
      </c>
      <c r="AD211" s="12">
        <f>Table1[[#This Row],[القيمة]]</f>
        <v>51767500</v>
      </c>
      <c r="AE211" s="8" t="s">
        <v>666</v>
      </c>
      <c r="AF211" s="8"/>
      <c r="AG211" s="97"/>
      <c r="AH211" s="8"/>
      <c r="AI211" s="8" t="s">
        <v>114</v>
      </c>
      <c r="AJ211" s="8">
        <v>32.200000000000003</v>
      </c>
      <c r="AK211" s="8">
        <v>31.5</v>
      </c>
      <c r="AL211" s="8">
        <v>0.7</v>
      </c>
      <c r="AM211" s="8" t="s">
        <v>87</v>
      </c>
      <c r="AN211" s="8" t="s">
        <v>87</v>
      </c>
      <c r="AO211" s="8">
        <v>0</v>
      </c>
      <c r="AP211" s="8">
        <v>1</v>
      </c>
      <c r="AQ211" s="8"/>
      <c r="AR211" s="8">
        <v>36</v>
      </c>
      <c r="AS211" s="8">
        <v>0.28999999999999998</v>
      </c>
      <c r="AT211" s="54"/>
      <c r="AU211" s="54"/>
    </row>
    <row r="212" spans="1:47" ht="49.95" customHeight="1" x14ac:dyDescent="0.25">
      <c r="A212" s="8">
        <f>SUBTOTAL(3, $J$2:J212)</f>
        <v>206</v>
      </c>
      <c r="B212" s="8" t="s">
        <v>91</v>
      </c>
      <c r="C212" s="8" t="s">
        <v>47</v>
      </c>
      <c r="D212" s="8">
        <v>42.134121999999998</v>
      </c>
      <c r="E212" s="8">
        <v>19.100773</v>
      </c>
      <c r="F212" s="8">
        <v>37100</v>
      </c>
      <c r="G212" s="8">
        <v>15325</v>
      </c>
      <c r="H212" s="8" t="s">
        <v>952</v>
      </c>
      <c r="I212" s="8" t="s">
        <v>953</v>
      </c>
      <c r="J212" s="97">
        <v>111230347</v>
      </c>
      <c r="K212" s="8" t="s">
        <v>47</v>
      </c>
      <c r="L212" s="9">
        <f>1.15*Table1[[#This Row],[القيمة]]</f>
        <v>49161391.112499997</v>
      </c>
      <c r="M212" s="10" t="s">
        <v>954</v>
      </c>
      <c r="N212" s="108">
        <v>42749035.75</v>
      </c>
      <c r="O212" s="20" t="s">
        <v>955</v>
      </c>
      <c r="P212" s="11" t="s">
        <v>96</v>
      </c>
      <c r="Q212" s="11" t="s">
        <v>613</v>
      </c>
      <c r="R212" s="8" t="s">
        <v>596</v>
      </c>
      <c r="S212" s="10" t="s">
        <v>647</v>
      </c>
      <c r="T212" s="97" t="s">
        <v>60</v>
      </c>
      <c r="U212" s="8" t="s">
        <v>614</v>
      </c>
      <c r="V212" s="8" t="s">
        <v>614</v>
      </c>
      <c r="W212" s="8" t="s">
        <v>87</v>
      </c>
      <c r="X212" s="8" t="s">
        <v>75</v>
      </c>
      <c r="Y212" s="14">
        <v>45362</v>
      </c>
      <c r="Z212" s="14">
        <v>46882</v>
      </c>
      <c r="AA212" s="8"/>
      <c r="AB212" s="10" t="s">
        <v>647</v>
      </c>
      <c r="AC212" s="10" t="s">
        <v>91</v>
      </c>
      <c r="AD212" s="12">
        <f>Table1[[#This Row],[القيمة]]</f>
        <v>42749035.75</v>
      </c>
      <c r="AE212" s="8" t="s">
        <v>614</v>
      </c>
      <c r="AF212" s="8"/>
      <c r="AG212" s="97"/>
      <c r="AH212" s="8"/>
      <c r="AI212" s="8" t="s">
        <v>114</v>
      </c>
      <c r="AJ212" s="8">
        <v>37.25</v>
      </c>
      <c r="AK212" s="8">
        <v>35.020000000000003</v>
      </c>
      <c r="AL212" s="8">
        <v>2.23</v>
      </c>
      <c r="AM212" s="8" t="s">
        <v>105</v>
      </c>
      <c r="AN212" s="8" t="s">
        <v>105</v>
      </c>
      <c r="AO212" s="8">
        <v>0</v>
      </c>
      <c r="AP212" s="8">
        <v>1</v>
      </c>
      <c r="AQ212" s="8"/>
      <c r="AR212" s="8">
        <v>18</v>
      </c>
      <c r="AS212" s="8">
        <v>-0.09</v>
      </c>
      <c r="AT212" s="54"/>
      <c r="AU212" s="54"/>
    </row>
    <row r="213" spans="1:47" ht="49.95" customHeight="1" x14ac:dyDescent="0.25">
      <c r="A213" s="8">
        <f>SUBTOTAL(3, $J$2:J213)</f>
        <v>207</v>
      </c>
      <c r="B213" s="8" t="s">
        <v>44</v>
      </c>
      <c r="C213" s="8" t="s">
        <v>47</v>
      </c>
      <c r="D213" s="8">
        <v>42.747267000000001</v>
      </c>
      <c r="E213" s="8">
        <v>18.273088000000001</v>
      </c>
      <c r="F213" s="8">
        <v>142370</v>
      </c>
      <c r="G213" s="8">
        <v>45804</v>
      </c>
      <c r="H213" s="8" t="s">
        <v>956</v>
      </c>
      <c r="I213" s="8" t="s">
        <v>957</v>
      </c>
      <c r="J213" s="97">
        <v>111230299</v>
      </c>
      <c r="K213" s="8" t="s">
        <v>47</v>
      </c>
      <c r="L213" s="9">
        <f>1.15*Table1[[#This Row],[القيمة]]</f>
        <v>108643190.99999999</v>
      </c>
      <c r="M213" s="106" t="s">
        <v>958</v>
      </c>
      <c r="N213" s="108">
        <v>94472340</v>
      </c>
      <c r="O213" s="20" t="s">
        <v>959</v>
      </c>
      <c r="P213" s="11" t="s">
        <v>96</v>
      </c>
      <c r="Q213" s="11" t="s">
        <v>633</v>
      </c>
      <c r="R213" s="8" t="s">
        <v>596</v>
      </c>
      <c r="S213" s="106" t="s">
        <v>960</v>
      </c>
      <c r="T213" s="97" t="s">
        <v>60</v>
      </c>
      <c r="U213" s="8" t="s">
        <v>597</v>
      </c>
      <c r="V213" s="8" t="s">
        <v>597</v>
      </c>
      <c r="W213" s="8" t="s">
        <v>105</v>
      </c>
      <c r="X213" s="8" t="s">
        <v>75</v>
      </c>
      <c r="Y213" s="14">
        <v>45497</v>
      </c>
      <c r="Z213" s="14">
        <v>47004</v>
      </c>
      <c r="AA213" s="8"/>
      <c r="AB213" s="10" t="s">
        <v>961</v>
      </c>
      <c r="AC213" s="10" t="s">
        <v>91</v>
      </c>
      <c r="AD213" s="12">
        <f>Table1[[#This Row],[القيمة]]</f>
        <v>94472340</v>
      </c>
      <c r="AE213" s="8" t="s">
        <v>597</v>
      </c>
      <c r="AF213" s="8"/>
      <c r="AG213" s="97"/>
      <c r="AH213" s="8"/>
      <c r="AI213" s="8" t="s">
        <v>114</v>
      </c>
      <c r="AJ213" s="8">
        <v>32.97</v>
      </c>
      <c r="AK213" s="8">
        <v>34.200000000000003</v>
      </c>
      <c r="AL213" s="8">
        <v>-1.23</v>
      </c>
      <c r="AM213" s="8" t="s">
        <v>105</v>
      </c>
      <c r="AN213" s="8" t="s">
        <v>105</v>
      </c>
      <c r="AO213" s="8">
        <v>0</v>
      </c>
      <c r="AP213" s="8">
        <v>0</v>
      </c>
      <c r="AQ213" s="8"/>
      <c r="AR213" s="8">
        <v>52</v>
      </c>
      <c r="AS213" s="8">
        <v>-0.59</v>
      </c>
      <c r="AT213" s="54"/>
      <c r="AU213" s="54" t="s">
        <v>47</v>
      </c>
    </row>
    <row r="214" spans="1:47" ht="49.95" customHeight="1" x14ac:dyDescent="0.25">
      <c r="A214" s="8">
        <f>SUBTOTAL(3, $J$2:J214)</f>
        <v>208</v>
      </c>
      <c r="B214" s="8" t="s">
        <v>91</v>
      </c>
      <c r="C214" s="8" t="s">
        <v>47</v>
      </c>
      <c r="D214" s="8">
        <v>42.758262000000002</v>
      </c>
      <c r="E214" s="8">
        <v>18.242673</v>
      </c>
      <c r="F214" s="8">
        <v>88375</v>
      </c>
      <c r="G214" s="8">
        <v>81614</v>
      </c>
      <c r="H214" s="8" t="s">
        <v>962</v>
      </c>
      <c r="I214" s="8" t="s">
        <v>963</v>
      </c>
      <c r="J214" s="97">
        <v>111230274</v>
      </c>
      <c r="K214" s="8" t="s">
        <v>47</v>
      </c>
      <c r="L214" s="9">
        <f>1.15*Table1[[#This Row],[القيمة]]</f>
        <v>28193631.84</v>
      </c>
      <c r="M214" s="106" t="s">
        <v>964</v>
      </c>
      <c r="N214" s="108">
        <v>24516201.600000001</v>
      </c>
      <c r="O214" s="20" t="s">
        <v>965</v>
      </c>
      <c r="P214" s="11" t="s">
        <v>96</v>
      </c>
      <c r="Q214" s="11" t="s">
        <v>633</v>
      </c>
      <c r="R214" s="8" t="s">
        <v>596</v>
      </c>
      <c r="S214" s="106" t="s">
        <v>282</v>
      </c>
      <c r="T214" s="97" t="s">
        <v>60</v>
      </c>
      <c r="U214" s="8" t="s">
        <v>601</v>
      </c>
      <c r="V214" s="8" t="s">
        <v>678</v>
      </c>
      <c r="W214" s="8" t="s">
        <v>105</v>
      </c>
      <c r="X214" s="8" t="s">
        <v>75</v>
      </c>
      <c r="Y214" s="14">
        <v>45300</v>
      </c>
      <c r="Z214" s="14">
        <v>46824</v>
      </c>
      <c r="AA214" s="8"/>
      <c r="AB214" s="10" t="s">
        <v>282</v>
      </c>
      <c r="AC214" s="10" t="s">
        <v>91</v>
      </c>
      <c r="AD214" s="12">
        <f>Table1[[#This Row],[القيمة]]</f>
        <v>24516201.600000001</v>
      </c>
      <c r="AE214" s="19" t="s">
        <v>601</v>
      </c>
      <c r="AF214" s="8"/>
      <c r="AG214" s="97"/>
      <c r="AH214" s="8"/>
      <c r="AI214" s="8" t="s">
        <v>60</v>
      </c>
      <c r="AJ214" s="8">
        <v>74.45</v>
      </c>
      <c r="AK214" s="8">
        <v>76.459999999999994</v>
      </c>
      <c r="AL214" s="8">
        <v>-2.0099999999999998</v>
      </c>
      <c r="AM214" s="8" t="s">
        <v>105</v>
      </c>
      <c r="AN214" s="8" t="s">
        <v>105</v>
      </c>
      <c r="AO214" s="8">
        <v>0</v>
      </c>
      <c r="AP214" s="8">
        <v>0</v>
      </c>
      <c r="AQ214" s="8"/>
      <c r="AR214" s="8" t="s">
        <v>635</v>
      </c>
      <c r="AS214" s="8">
        <v>-1.07</v>
      </c>
      <c r="AT214" s="54"/>
      <c r="AU214" s="54"/>
    </row>
    <row r="215" spans="1:47" ht="49.95" customHeight="1" x14ac:dyDescent="0.25">
      <c r="A215" s="8">
        <f>SUBTOTAL(3, $J$2:J215)</f>
        <v>209</v>
      </c>
      <c r="B215" s="8" t="s">
        <v>44</v>
      </c>
      <c r="C215" s="8" t="s">
        <v>47</v>
      </c>
      <c r="D215" s="8">
        <v>41.960151000000003</v>
      </c>
      <c r="E215" s="8">
        <v>19.567710999999999</v>
      </c>
      <c r="F215" s="8">
        <v>45700</v>
      </c>
      <c r="G215" s="8">
        <v>34800</v>
      </c>
      <c r="H215" s="8" t="s">
        <v>966</v>
      </c>
      <c r="I215" s="8" t="s">
        <v>967</v>
      </c>
      <c r="J215" s="97">
        <v>111230272</v>
      </c>
      <c r="K215" s="8" t="s">
        <v>47</v>
      </c>
      <c r="L215" s="9">
        <f>1.15*Table1[[#This Row],[القيمة]]</f>
        <v>33170139.999999996</v>
      </c>
      <c r="M215" s="106" t="s">
        <v>968</v>
      </c>
      <c r="N215" s="108">
        <v>28843600</v>
      </c>
      <c r="O215" s="20" t="s">
        <v>969</v>
      </c>
      <c r="P215" s="11" t="s">
        <v>96</v>
      </c>
      <c r="Q215" s="11" t="s">
        <v>757</v>
      </c>
      <c r="R215" s="8" t="s">
        <v>596</v>
      </c>
      <c r="S215" s="106" t="s">
        <v>104</v>
      </c>
      <c r="T215" s="97" t="s">
        <v>60</v>
      </c>
      <c r="U215" s="8" t="s">
        <v>758</v>
      </c>
      <c r="V215" s="8" t="s">
        <v>758</v>
      </c>
      <c r="W215" s="8" t="s">
        <v>87</v>
      </c>
      <c r="X215" s="8" t="s">
        <v>75</v>
      </c>
      <c r="Y215" s="14">
        <v>45372</v>
      </c>
      <c r="Z215" s="14">
        <v>46958</v>
      </c>
      <c r="AA215" s="8"/>
      <c r="AB215" s="10" t="s">
        <v>106</v>
      </c>
      <c r="AC215" s="10" t="s">
        <v>91</v>
      </c>
      <c r="AD215" s="12">
        <f>Table1[[#This Row],[القيمة]]</f>
        <v>28843600</v>
      </c>
      <c r="AE215" s="8" t="s">
        <v>758</v>
      </c>
      <c r="AF215" s="8"/>
      <c r="AG215" s="97"/>
      <c r="AH215" s="8"/>
      <c r="AI215" s="8" t="s">
        <v>114</v>
      </c>
      <c r="AJ215" s="8">
        <v>40.58</v>
      </c>
      <c r="AK215" s="8">
        <v>37.49</v>
      </c>
      <c r="AL215" s="8">
        <v>3.09</v>
      </c>
      <c r="AM215" s="8" t="s">
        <v>87</v>
      </c>
      <c r="AN215" s="8" t="s">
        <v>87</v>
      </c>
      <c r="AO215" s="8">
        <v>0</v>
      </c>
      <c r="AP215" s="8">
        <v>0</v>
      </c>
      <c r="AQ215" s="8"/>
      <c r="AR215" s="8">
        <v>6</v>
      </c>
      <c r="AS215" s="8">
        <v>1.79</v>
      </c>
      <c r="AT215" s="54"/>
      <c r="AU215" s="54"/>
    </row>
    <row r="216" spans="1:47" ht="49.95" customHeight="1" x14ac:dyDescent="0.25">
      <c r="A216" s="8">
        <f>SUBTOTAL(3, $J$2:J216)</f>
        <v>210</v>
      </c>
      <c r="B216" s="8" t="s">
        <v>180</v>
      </c>
      <c r="C216" s="8" t="s">
        <v>47</v>
      </c>
      <c r="D216" s="8">
        <v>42.76146</v>
      </c>
      <c r="E216" s="8">
        <v>18.346444999999999</v>
      </c>
      <c r="F216" s="8">
        <v>38458</v>
      </c>
      <c r="G216" s="8">
        <v>22137</v>
      </c>
      <c r="H216" s="8" t="s">
        <v>970</v>
      </c>
      <c r="I216" s="8" t="s">
        <v>971</v>
      </c>
      <c r="J216" s="97">
        <v>111230257</v>
      </c>
      <c r="K216" s="8" t="s">
        <v>47</v>
      </c>
      <c r="L216" s="9">
        <f>1.15*Table1[[#This Row],[القيمة]]</f>
        <v>33247845.499999996</v>
      </c>
      <c r="M216" s="106" t="s">
        <v>972</v>
      </c>
      <c r="N216" s="108">
        <v>28911170</v>
      </c>
      <c r="O216" s="20" t="s">
        <v>973</v>
      </c>
      <c r="P216" s="11" t="s">
        <v>96</v>
      </c>
      <c r="Q216" s="11" t="s">
        <v>633</v>
      </c>
      <c r="R216" s="8" t="s">
        <v>596</v>
      </c>
      <c r="S216" s="106" t="s">
        <v>306</v>
      </c>
      <c r="T216" s="97" t="s">
        <v>60</v>
      </c>
      <c r="U216" s="8" t="s">
        <v>597</v>
      </c>
      <c r="V216" s="8" t="s">
        <v>597</v>
      </c>
      <c r="W216" s="8" t="s">
        <v>87</v>
      </c>
      <c r="X216" s="8" t="s">
        <v>75</v>
      </c>
      <c r="Y216" s="14">
        <v>45294</v>
      </c>
      <c r="Z216" s="14">
        <v>46814</v>
      </c>
      <c r="AA216" s="8"/>
      <c r="AB216" s="10" t="s">
        <v>306</v>
      </c>
      <c r="AC216" s="10" t="s">
        <v>90</v>
      </c>
      <c r="AD216" s="12">
        <f>Table1[[#This Row],[القيمة]]</f>
        <v>28911170</v>
      </c>
      <c r="AE216" s="8" t="s">
        <v>597</v>
      </c>
      <c r="AF216" s="8"/>
      <c r="AG216" s="97"/>
      <c r="AH216" s="8"/>
      <c r="AI216" s="8" t="s">
        <v>114</v>
      </c>
      <c r="AJ216" s="8">
        <v>45.55</v>
      </c>
      <c r="AK216" s="8">
        <v>42.56</v>
      </c>
      <c r="AL216" s="8">
        <v>2.99</v>
      </c>
      <c r="AM216" s="8" t="s">
        <v>87</v>
      </c>
      <c r="AN216" s="8" t="s">
        <v>87</v>
      </c>
      <c r="AO216" s="8">
        <v>0</v>
      </c>
      <c r="AP216" s="8">
        <v>0</v>
      </c>
      <c r="AQ216" s="8"/>
      <c r="AR216" s="8" t="s">
        <v>635</v>
      </c>
      <c r="AS216" s="8">
        <v>1.25</v>
      </c>
      <c r="AT216" s="54"/>
      <c r="AU216" s="54"/>
    </row>
    <row r="217" spans="1:47" ht="76.2" customHeight="1" x14ac:dyDescent="0.25">
      <c r="A217" s="8">
        <f>SUBTOTAL(3, $J$2:J217)</f>
        <v>211</v>
      </c>
      <c r="B217" s="8" t="s">
        <v>180</v>
      </c>
      <c r="C217" s="8" t="s">
        <v>47</v>
      </c>
      <c r="D217" s="8">
        <v>42.728033000000003</v>
      </c>
      <c r="E217" s="8">
        <v>18.249063</v>
      </c>
      <c r="F217" s="8">
        <v>24227</v>
      </c>
      <c r="G217" s="8">
        <v>18293</v>
      </c>
      <c r="H217" s="8" t="s">
        <v>974</v>
      </c>
      <c r="I217" s="8" t="s">
        <v>975</v>
      </c>
      <c r="J217" s="98">
        <v>111230169</v>
      </c>
      <c r="K217" s="27" t="s">
        <v>47</v>
      </c>
      <c r="L217" s="9">
        <f>1.15*Table1[[#This Row],[القيمة]]</f>
        <v>19820853.75</v>
      </c>
      <c r="M217" s="107" t="s">
        <v>976</v>
      </c>
      <c r="N217" s="109">
        <v>17235525</v>
      </c>
      <c r="O217" s="44" t="s">
        <v>977</v>
      </c>
      <c r="P217" s="11" t="s">
        <v>96</v>
      </c>
      <c r="Q217" s="11" t="s">
        <v>633</v>
      </c>
      <c r="R217" s="8" t="s">
        <v>596</v>
      </c>
      <c r="S217" s="107" t="s">
        <v>306</v>
      </c>
      <c r="T217" s="97" t="s">
        <v>60</v>
      </c>
      <c r="U217" s="8" t="s">
        <v>689</v>
      </c>
      <c r="V217" s="41" t="s">
        <v>288</v>
      </c>
      <c r="W217" s="8" t="s">
        <v>87</v>
      </c>
      <c r="X217" s="8" t="s">
        <v>75</v>
      </c>
      <c r="Y217" s="14">
        <v>45225</v>
      </c>
      <c r="Z217" s="14">
        <v>46785</v>
      </c>
      <c r="AA217" s="8"/>
      <c r="AB217" s="10" t="s">
        <v>306</v>
      </c>
      <c r="AC217" s="10" t="s">
        <v>90</v>
      </c>
      <c r="AD217" s="12">
        <f>Table1[[#This Row],[القيمة]]</f>
        <v>17235525</v>
      </c>
      <c r="AE217" s="41" t="s">
        <v>689</v>
      </c>
      <c r="AF217" s="8"/>
      <c r="AG217" s="97"/>
      <c r="AH217" s="8"/>
      <c r="AI217" s="8" t="s">
        <v>60</v>
      </c>
      <c r="AJ217" s="8">
        <v>56.98</v>
      </c>
      <c r="AK217" s="8">
        <v>56.5</v>
      </c>
      <c r="AL217" s="8">
        <v>0.48</v>
      </c>
      <c r="AM217" s="8" t="s">
        <v>87</v>
      </c>
      <c r="AN217" s="8" t="s">
        <v>87</v>
      </c>
      <c r="AO217" s="8">
        <v>0</v>
      </c>
      <c r="AP217" s="8">
        <v>1</v>
      </c>
      <c r="AQ217" s="8"/>
      <c r="AR217" s="8">
        <v>0</v>
      </c>
      <c r="AS217" s="8">
        <v>0.04</v>
      </c>
      <c r="AT217" s="54"/>
      <c r="AU217" s="54"/>
    </row>
    <row r="218" spans="1:47" ht="76.2" customHeight="1" x14ac:dyDescent="0.25">
      <c r="A218" s="8">
        <f>SUBTOTAL(3, $J$2:J218)</f>
        <v>212</v>
      </c>
      <c r="B218" s="8" t="s">
        <v>91</v>
      </c>
      <c r="C218" s="8" t="s">
        <v>47</v>
      </c>
      <c r="D218" s="8">
        <v>42.761172000000002</v>
      </c>
      <c r="E218" s="8">
        <v>18.347567999999999</v>
      </c>
      <c r="F218" s="8">
        <v>74340</v>
      </c>
      <c r="G218" s="8">
        <v>44765</v>
      </c>
      <c r="H218" s="8" t="s">
        <v>978</v>
      </c>
      <c r="I218" s="8" t="s">
        <v>979</v>
      </c>
      <c r="J218" s="97">
        <v>111230113</v>
      </c>
      <c r="K218" s="27" t="s">
        <v>47</v>
      </c>
      <c r="L218" s="9">
        <f>1.15*Table1[[#This Row],[القيمة]]</f>
        <v>16995901.75</v>
      </c>
      <c r="M218" s="75" t="s">
        <v>980</v>
      </c>
      <c r="N218" s="11">
        <v>14779045</v>
      </c>
      <c r="O218" s="20" t="s">
        <v>981</v>
      </c>
      <c r="P218" s="11" t="s">
        <v>96</v>
      </c>
      <c r="Q218" s="11" t="s">
        <v>633</v>
      </c>
      <c r="R218" s="8" t="s">
        <v>596</v>
      </c>
      <c r="S218" s="106" t="s">
        <v>306</v>
      </c>
      <c r="T218" s="8" t="s">
        <v>60</v>
      </c>
      <c r="U218" s="8" t="s">
        <v>597</v>
      </c>
      <c r="V218" s="8" t="s">
        <v>597</v>
      </c>
      <c r="W218" s="8" t="s">
        <v>87</v>
      </c>
      <c r="X218" s="8" t="s">
        <v>75</v>
      </c>
      <c r="Y218" s="14">
        <v>45196</v>
      </c>
      <c r="Z218" s="14">
        <v>46646</v>
      </c>
      <c r="AA218" s="8"/>
      <c r="AB218" s="10" t="s">
        <v>306</v>
      </c>
      <c r="AC218" s="10" t="s">
        <v>91</v>
      </c>
      <c r="AD218" s="12">
        <f>Table1[[#This Row],[القيمة]]</f>
        <v>14779045</v>
      </c>
      <c r="AE218" s="8" t="s">
        <v>597</v>
      </c>
      <c r="AF218" s="8"/>
      <c r="AG218" s="8"/>
      <c r="AH218" s="8"/>
      <c r="AI218" s="8" t="s">
        <v>114</v>
      </c>
      <c r="AJ218" s="8">
        <v>67.569999999999993</v>
      </c>
      <c r="AK218" s="8">
        <v>67.33</v>
      </c>
      <c r="AL218" s="8">
        <v>0.24</v>
      </c>
      <c r="AM218" s="8" t="s">
        <v>87</v>
      </c>
      <c r="AN218" s="8" t="s">
        <v>87</v>
      </c>
      <c r="AO218" s="8">
        <v>0</v>
      </c>
      <c r="AP218" s="8">
        <v>0</v>
      </c>
      <c r="AQ218" s="8"/>
      <c r="AR218" s="8" t="s">
        <v>635</v>
      </c>
      <c r="AS218" s="8">
        <v>0</v>
      </c>
      <c r="AT218" s="54"/>
      <c r="AU218" s="54"/>
    </row>
    <row r="219" spans="1:47" ht="76.2" customHeight="1" x14ac:dyDescent="0.25">
      <c r="A219" s="8">
        <f>SUBTOTAL(3, $J$2:J219)</f>
        <v>213</v>
      </c>
      <c r="B219" s="8" t="s">
        <v>317</v>
      </c>
      <c r="C219" s="8" t="s">
        <v>55</v>
      </c>
      <c r="D219" s="8"/>
      <c r="E219" s="8"/>
      <c r="F219" s="8"/>
      <c r="G219" s="8"/>
      <c r="H219" s="8"/>
      <c r="I219" s="8"/>
      <c r="J219" s="8">
        <v>111210138</v>
      </c>
      <c r="K219" s="27" t="s">
        <v>47</v>
      </c>
      <c r="L219" s="102">
        <f>1.15*Table1[[#This Row],[القيمة]]</f>
        <v>457527210.65999997</v>
      </c>
      <c r="M219" s="10" t="s">
        <v>1022</v>
      </c>
      <c r="N219" s="11">
        <v>397849748.39999998</v>
      </c>
      <c r="O219" s="20"/>
      <c r="P219" s="11"/>
      <c r="Q219" s="11" t="s">
        <v>1023</v>
      </c>
      <c r="R219" s="8" t="s">
        <v>596</v>
      </c>
      <c r="S219" s="10" t="s">
        <v>1024</v>
      </c>
      <c r="T219" s="8" t="s">
        <v>60</v>
      </c>
      <c r="U219" s="8" t="s">
        <v>512</v>
      </c>
      <c r="V219" s="8" t="s">
        <v>512</v>
      </c>
      <c r="W219" s="8" t="s">
        <v>175</v>
      </c>
      <c r="X219" s="8" t="s">
        <v>75</v>
      </c>
      <c r="Y219" s="63" t="s">
        <v>1025</v>
      </c>
      <c r="Z219" s="63" t="s">
        <v>1026</v>
      </c>
      <c r="AA219" s="8"/>
      <c r="AB219" s="10" t="s">
        <v>1024</v>
      </c>
      <c r="AC219" s="10"/>
      <c r="AD219" s="12">
        <f>Table1[[#This Row],[القيمة]]</f>
        <v>397849748.39999998</v>
      </c>
      <c r="AE219" s="8" t="s">
        <v>512</v>
      </c>
      <c r="AF219" s="8"/>
      <c r="AG219" s="8"/>
      <c r="AH219" s="8"/>
      <c r="AI219" s="8" t="s">
        <v>133</v>
      </c>
      <c r="AJ219" s="8"/>
      <c r="AK219" s="8"/>
      <c r="AL219" s="8"/>
      <c r="AM219" s="8"/>
      <c r="AN219" s="8"/>
      <c r="AO219" s="8">
        <v>0</v>
      </c>
      <c r="AP219" s="8">
        <v>1</v>
      </c>
      <c r="AQ219" s="8"/>
      <c r="AR219" s="8">
        <v>200</v>
      </c>
      <c r="AS219" s="8"/>
      <c r="AT219" s="54"/>
      <c r="AU219" s="54"/>
    </row>
    <row r="220" spans="1:47" ht="76.2" customHeight="1" x14ac:dyDescent="0.25">
      <c r="A220" s="8">
        <f>SUBTOTAL(3, $J$2:J220)</f>
        <v>214</v>
      </c>
      <c r="B220" s="8"/>
      <c r="C220" s="8" t="s">
        <v>55</v>
      </c>
      <c r="D220" s="8"/>
      <c r="E220" s="8"/>
      <c r="F220" s="8"/>
      <c r="G220" s="8"/>
      <c r="H220" s="8"/>
      <c r="I220" s="8"/>
      <c r="J220" s="8">
        <v>121220045</v>
      </c>
      <c r="K220" s="27" t="s">
        <v>57</v>
      </c>
      <c r="L220" s="9">
        <f>1.15*Table1[[#This Row],[القيمة]]</f>
        <v>29683932.249999996</v>
      </c>
      <c r="M220" s="10" t="s">
        <v>546</v>
      </c>
      <c r="N220" s="11">
        <v>25812115</v>
      </c>
      <c r="O220" s="20"/>
      <c r="P220" s="11"/>
      <c r="Q220" s="11"/>
      <c r="R220" s="8" t="s">
        <v>49</v>
      </c>
      <c r="S220" s="10" t="s">
        <v>50</v>
      </c>
      <c r="T220" s="8" t="s">
        <v>133</v>
      </c>
      <c r="U220" s="17" t="s">
        <v>369</v>
      </c>
      <c r="V220" s="8" t="s">
        <v>369</v>
      </c>
      <c r="W220" s="8" t="s">
        <v>547</v>
      </c>
      <c r="X220" s="10" t="s">
        <v>547</v>
      </c>
      <c r="Y220" s="14">
        <v>44833</v>
      </c>
      <c r="Z220" s="14">
        <v>46175</v>
      </c>
      <c r="AA220" s="14"/>
      <c r="AB220" s="10" t="s">
        <v>50</v>
      </c>
      <c r="AC220" s="10"/>
      <c r="AD220" s="12">
        <f>Table1[[#This Row],[القيمة]]</f>
        <v>25812115</v>
      </c>
      <c r="AE220" s="8"/>
      <c r="AF220" s="17"/>
      <c r="AG220" s="8"/>
      <c r="AH220" s="8"/>
      <c r="AI220" s="8"/>
      <c r="AJ220" s="8"/>
      <c r="AK220" s="8"/>
      <c r="AL220" s="8"/>
      <c r="AM220" s="8"/>
      <c r="AN220" s="8"/>
      <c r="AO220" s="8">
        <v>0</v>
      </c>
      <c r="AP220" s="8">
        <v>0</v>
      </c>
      <c r="AQ220" s="8"/>
      <c r="AR220" s="8"/>
      <c r="AS220" s="8"/>
      <c r="AT220" s="54"/>
      <c r="AU220" s="54"/>
    </row>
    <row r="221" spans="1:47" ht="49.95" customHeight="1" x14ac:dyDescent="0.25">
      <c r="A221" s="54">
        <f>SUBTOTAL(3, $J$2:J221)</f>
        <v>215</v>
      </c>
      <c r="B221" s="54"/>
      <c r="C221" s="54" t="s">
        <v>55</v>
      </c>
      <c r="D221" s="8"/>
      <c r="E221" s="8"/>
      <c r="F221" s="8"/>
      <c r="G221" s="8"/>
      <c r="H221" s="8"/>
      <c r="I221" s="8"/>
      <c r="J221" s="54">
        <v>121260243</v>
      </c>
      <c r="K221" s="79" t="s">
        <v>57</v>
      </c>
      <c r="L221" s="37">
        <f>1.15*Table1[[#This Row],[القيمة]]</f>
        <v>14707491.081999999</v>
      </c>
      <c r="M221" s="10" t="s">
        <v>356</v>
      </c>
      <c r="N221" s="80">
        <v>12789122.68</v>
      </c>
      <c r="O221" s="20"/>
      <c r="P221" s="80"/>
      <c r="Q221" s="80"/>
      <c r="R221" s="54" t="s">
        <v>49</v>
      </c>
      <c r="S221" s="56" t="s">
        <v>357</v>
      </c>
      <c r="T221" s="54"/>
      <c r="U221" s="8" t="s">
        <v>358</v>
      </c>
      <c r="V221" s="54"/>
      <c r="W221" s="54" t="s">
        <v>359</v>
      </c>
      <c r="X221" s="54" t="s">
        <v>360</v>
      </c>
      <c r="Y221" s="55"/>
      <c r="Z221" s="55"/>
      <c r="AA221" s="54" t="s">
        <v>360</v>
      </c>
      <c r="AB221" s="56"/>
      <c r="AC221" s="56"/>
      <c r="AD221" s="57">
        <f>Table1[[#This Row],[القيمة]]</f>
        <v>12789122.68</v>
      </c>
      <c r="AE221" s="54"/>
      <c r="AF221" s="8" t="s">
        <v>358</v>
      </c>
      <c r="AG221" s="54"/>
      <c r="AH221" s="54"/>
      <c r="AI221" s="54"/>
      <c r="AJ221" s="54"/>
      <c r="AK221" s="54"/>
      <c r="AL221" s="54"/>
      <c r="AM221" s="8"/>
      <c r="AN221" s="8"/>
      <c r="AO221" s="54"/>
      <c r="AP221" s="54"/>
      <c r="AQ221" s="54"/>
      <c r="AR221" s="54"/>
      <c r="AS221" s="54"/>
      <c r="AT221" s="54"/>
      <c r="AU221" s="54"/>
    </row>
    <row r="222" spans="1:47" ht="49.95" customHeight="1" x14ac:dyDescent="0.25">
      <c r="A222" s="8">
        <f>SUBTOTAL(3, $J$2:J222)</f>
        <v>216</v>
      </c>
      <c r="B222" s="8" t="s">
        <v>180</v>
      </c>
      <c r="C222" s="8" t="s">
        <v>55</v>
      </c>
      <c r="D222" s="8"/>
      <c r="E222" s="8"/>
      <c r="F222" s="8"/>
      <c r="G222" s="8"/>
      <c r="H222" s="8"/>
      <c r="I222" s="8"/>
      <c r="J222" s="8">
        <v>141220017</v>
      </c>
      <c r="K222" s="27" t="s">
        <v>57</v>
      </c>
      <c r="L222" s="37">
        <f>1.15*Table1[[#This Row],[القيمة]]</f>
        <v>54087934.75</v>
      </c>
      <c r="M222" s="10" t="s">
        <v>237</v>
      </c>
      <c r="N222" s="25">
        <v>47032986.739130437</v>
      </c>
      <c r="O222" s="20"/>
      <c r="P222" s="11" t="s">
        <v>238</v>
      </c>
      <c r="Q222" s="11" t="s">
        <v>112</v>
      </c>
      <c r="R222" s="8" t="s">
        <v>68</v>
      </c>
      <c r="S222" s="110" t="s">
        <v>209</v>
      </c>
      <c r="T222" s="8" t="s">
        <v>60</v>
      </c>
      <c r="U222" s="8" t="s">
        <v>86</v>
      </c>
      <c r="V222" s="8" t="s">
        <v>86</v>
      </c>
      <c r="W222" s="8" t="s">
        <v>239</v>
      </c>
      <c r="X222" s="8" t="s">
        <v>239</v>
      </c>
      <c r="Y222" s="14">
        <v>44733</v>
      </c>
      <c r="Z222" s="14">
        <v>45468</v>
      </c>
      <c r="AA222" s="18" t="s">
        <v>240</v>
      </c>
      <c r="AB222" s="10" t="s">
        <v>209</v>
      </c>
      <c r="AC222" s="8"/>
      <c r="AD222" s="12">
        <f>Table1[[#This Row],[القيمة]]</f>
        <v>47032986.739130437</v>
      </c>
      <c r="AE222" s="8"/>
      <c r="AF222" s="8"/>
      <c r="AG222" s="8" t="s">
        <v>86</v>
      </c>
      <c r="AH222" s="8"/>
      <c r="AI222" s="8"/>
      <c r="AJ222" s="8">
        <v>100</v>
      </c>
      <c r="AK222" s="8">
        <v>26.5</v>
      </c>
      <c r="AL222" s="8"/>
      <c r="AM222" s="8"/>
      <c r="AN222" s="8"/>
      <c r="AO222" s="8"/>
      <c r="AP222" s="8"/>
      <c r="AQ222" s="8"/>
      <c r="AR222" s="8"/>
      <c r="AS222" s="8">
        <v>73.5</v>
      </c>
      <c r="AT222" s="54"/>
      <c r="AU222" s="54"/>
    </row>
    <row r="223" spans="1:47" ht="49.95" customHeight="1" x14ac:dyDescent="0.25">
      <c r="A223" s="8">
        <f>SUBTOTAL(3, $J$2:J223)</f>
        <v>217</v>
      </c>
      <c r="B223" s="8" t="s">
        <v>91</v>
      </c>
      <c r="C223" s="8" t="s">
        <v>55</v>
      </c>
      <c r="D223" s="8"/>
      <c r="E223" s="8"/>
      <c r="F223" s="8"/>
      <c r="G223" s="8"/>
      <c r="H223" s="8" t="s">
        <v>466</v>
      </c>
      <c r="I223" s="8" t="s">
        <v>467</v>
      </c>
      <c r="J223" s="8">
        <v>121240348</v>
      </c>
      <c r="K223" s="27" t="s">
        <v>57</v>
      </c>
      <c r="L223" s="104">
        <f>1.15*Table1[[#This Row],[القيمة]]</f>
        <v>14995965.499999998</v>
      </c>
      <c r="M223" s="85" t="s">
        <v>356</v>
      </c>
      <c r="N223" s="86">
        <v>13039970</v>
      </c>
      <c r="O223" s="20"/>
      <c r="P223" s="11" t="s">
        <v>96</v>
      </c>
      <c r="Q223" s="11" t="s">
        <v>131</v>
      </c>
      <c r="R223" s="87" t="s">
        <v>49</v>
      </c>
      <c r="S223" s="85" t="s">
        <v>468</v>
      </c>
      <c r="T223" s="8" t="s">
        <v>60</v>
      </c>
      <c r="U223" s="87" t="s">
        <v>402</v>
      </c>
      <c r="V223" s="8" t="s">
        <v>402</v>
      </c>
      <c r="W223" s="87" t="s">
        <v>239</v>
      </c>
      <c r="X223" s="87" t="s">
        <v>239</v>
      </c>
      <c r="Y223" s="88">
        <v>45679</v>
      </c>
      <c r="Z223" s="88">
        <v>45952</v>
      </c>
      <c r="AA223" s="87" t="s">
        <v>469</v>
      </c>
      <c r="AB223" s="85" t="s">
        <v>468</v>
      </c>
      <c r="AC223" s="85" t="s">
        <v>91</v>
      </c>
      <c r="AD223" s="89">
        <f>Table1[[#This Row],[القيمة]]</f>
        <v>13039970</v>
      </c>
      <c r="AE223" s="87"/>
      <c r="AF223" s="87" t="s">
        <v>402</v>
      </c>
      <c r="AG223" s="87"/>
      <c r="AH223" s="87"/>
      <c r="AI223" s="87"/>
      <c r="AJ223" s="8">
        <v>100</v>
      </c>
      <c r="AK223" s="8">
        <v>2.06</v>
      </c>
      <c r="AL223" s="8">
        <v>97.94</v>
      </c>
      <c r="AM223" s="87" t="s">
        <v>239</v>
      </c>
      <c r="AN223" s="8" t="s">
        <v>239</v>
      </c>
      <c r="AO223" s="8">
        <v>0</v>
      </c>
      <c r="AP223" s="8">
        <v>0</v>
      </c>
      <c r="AQ223" s="8"/>
      <c r="AR223" s="8">
        <v>0</v>
      </c>
      <c r="AS223" s="8">
        <v>97.94</v>
      </c>
      <c r="AT223" s="54"/>
      <c r="AU223" s="54"/>
    </row>
    <row r="224" spans="1:47" ht="49.95" customHeight="1" x14ac:dyDescent="0.25">
      <c r="A224" s="8">
        <f>SUBTOTAL(3, $J$2:J224)</f>
        <v>218</v>
      </c>
      <c r="B224" s="8" t="s">
        <v>91</v>
      </c>
      <c r="C224" s="8" t="s">
        <v>55</v>
      </c>
      <c r="D224" s="8"/>
      <c r="E224" s="8"/>
      <c r="F224" s="8"/>
      <c r="G224" s="8"/>
      <c r="H224" s="8"/>
      <c r="I224" s="8"/>
      <c r="J224" s="8">
        <v>121210009</v>
      </c>
      <c r="K224" s="27" t="s">
        <v>47</v>
      </c>
      <c r="L224" s="37">
        <f>1.15*Table1[[#This Row],[القيمة]]</f>
        <v>104705658.3</v>
      </c>
      <c r="M224" s="10" t="s">
        <v>590</v>
      </c>
      <c r="N224" s="11">
        <v>91048398.52173914</v>
      </c>
      <c r="O224" s="20"/>
      <c r="P224" s="11" t="s">
        <v>215</v>
      </c>
      <c r="Q224" s="11" t="s">
        <v>591</v>
      </c>
      <c r="R224" s="8" t="s">
        <v>49</v>
      </c>
      <c r="S224" s="10" t="s">
        <v>592</v>
      </c>
      <c r="T224" s="8" t="s">
        <v>60</v>
      </c>
      <c r="U224" s="8" t="s">
        <v>369</v>
      </c>
      <c r="V224" s="8" t="s">
        <v>369</v>
      </c>
      <c r="W224" s="8" t="s">
        <v>239</v>
      </c>
      <c r="X224" s="8" t="s">
        <v>239</v>
      </c>
      <c r="Y224" s="14" t="s">
        <v>593</v>
      </c>
      <c r="Z224" s="14" t="s">
        <v>594</v>
      </c>
      <c r="AA224" s="8"/>
      <c r="AB224" s="10" t="s">
        <v>592</v>
      </c>
      <c r="AC224" s="10"/>
      <c r="AD224" s="12">
        <f>Table1[[#This Row],[القيمة]]</f>
        <v>91048398.52173914</v>
      </c>
      <c r="AE224" s="8"/>
      <c r="AF224" s="8" t="s">
        <v>369</v>
      </c>
      <c r="AG224" s="8"/>
      <c r="AH224" s="8"/>
      <c r="AI224" s="8"/>
      <c r="AJ224" s="8">
        <v>100</v>
      </c>
      <c r="AK224" s="8">
        <v>46.36</v>
      </c>
      <c r="AL224" s="8"/>
      <c r="AM224" s="8"/>
      <c r="AN224" s="8"/>
      <c r="AO224" s="8"/>
      <c r="AP224" s="8"/>
      <c r="AQ224" s="8"/>
      <c r="AR224" s="8"/>
      <c r="AS224" s="8">
        <v>53.64</v>
      </c>
      <c r="AT224" s="54"/>
      <c r="AU224" s="54"/>
    </row>
    <row r="225" spans="1:47" ht="49.95" customHeight="1" x14ac:dyDescent="0.25">
      <c r="A225" s="8">
        <f>SUBTOTAL(3, $J$2:J225)</f>
        <v>219</v>
      </c>
      <c r="B225" s="8" t="s">
        <v>91</v>
      </c>
      <c r="C225" s="8" t="s">
        <v>55</v>
      </c>
      <c r="D225" s="8"/>
      <c r="E225" s="8"/>
      <c r="F225" s="8"/>
      <c r="G225" s="8"/>
      <c r="H225" s="8" t="s">
        <v>1004</v>
      </c>
      <c r="I225" s="8" t="s">
        <v>1005</v>
      </c>
      <c r="J225" s="8">
        <v>111220032</v>
      </c>
      <c r="K225" s="27" t="s">
        <v>47</v>
      </c>
      <c r="L225" s="37">
        <f>1.15*Table1[[#This Row],[القيمة]]</f>
        <v>39461127.36999999</v>
      </c>
      <c r="M225" s="10" t="s">
        <v>1006</v>
      </c>
      <c r="N225" s="11">
        <v>34314023.799999997</v>
      </c>
      <c r="O225" s="20"/>
      <c r="P225" s="11" t="s">
        <v>496</v>
      </c>
      <c r="Q225" s="11" t="s">
        <v>835</v>
      </c>
      <c r="R225" s="8" t="s">
        <v>596</v>
      </c>
      <c r="S225" s="10" t="s">
        <v>1007</v>
      </c>
      <c r="T225" s="8" t="s">
        <v>60</v>
      </c>
      <c r="U225" s="8" t="s">
        <v>641</v>
      </c>
      <c r="V225" s="8" t="s">
        <v>641</v>
      </c>
      <c r="W225" s="8" t="s">
        <v>239</v>
      </c>
      <c r="X225" s="8" t="s">
        <v>239</v>
      </c>
      <c r="Y225" s="14">
        <v>44724</v>
      </c>
      <c r="Z225" s="14">
        <v>45455</v>
      </c>
      <c r="AA225" s="8"/>
      <c r="AB225" s="10" t="s">
        <v>232</v>
      </c>
      <c r="AC225" s="10" t="s">
        <v>91</v>
      </c>
      <c r="AD225" s="12">
        <f>Table1[[#This Row],[القيمة]]</f>
        <v>34314023.799999997</v>
      </c>
      <c r="AE225" s="8" t="s">
        <v>641</v>
      </c>
      <c r="AF225" s="8"/>
      <c r="AG225" s="8"/>
      <c r="AH225" s="8"/>
      <c r="AI225" s="8"/>
      <c r="AJ225" s="8">
        <v>100</v>
      </c>
      <c r="AK225" s="8">
        <v>6.97</v>
      </c>
      <c r="AL225" s="8">
        <v>93.03</v>
      </c>
      <c r="AM225" s="8" t="s">
        <v>239</v>
      </c>
      <c r="AN225" s="8" t="s">
        <v>239</v>
      </c>
      <c r="AO225" s="8"/>
      <c r="AP225" s="8"/>
      <c r="AQ225" s="8"/>
      <c r="AR225" s="8"/>
      <c r="AS225" s="8">
        <v>93.03</v>
      </c>
      <c r="AT225" s="54"/>
      <c r="AU225" s="54"/>
    </row>
    <row r="226" spans="1:47" ht="49.95" customHeight="1" x14ac:dyDescent="0.25">
      <c r="A226" s="8">
        <f>SUBTOTAL(3, $J$2:J226)</f>
        <v>220</v>
      </c>
      <c r="B226" s="8" t="s">
        <v>91</v>
      </c>
      <c r="C226" s="8" t="s">
        <v>55</v>
      </c>
      <c r="D226" s="8"/>
      <c r="E226" s="8"/>
      <c r="F226" s="8"/>
      <c r="G226" s="8"/>
      <c r="H226" s="8" t="s">
        <v>1008</v>
      </c>
      <c r="I226" s="8" t="s">
        <v>1009</v>
      </c>
      <c r="J226" s="8">
        <v>111220028</v>
      </c>
      <c r="K226" s="27" t="s">
        <v>47</v>
      </c>
      <c r="L226" s="37">
        <f>1.15*Table1[[#This Row],[القيمة]]</f>
        <v>42852657.115000002</v>
      </c>
      <c r="M226" s="106" t="s">
        <v>1010</v>
      </c>
      <c r="N226" s="11">
        <v>37263180.100000001</v>
      </c>
      <c r="O226" s="20"/>
      <c r="P226" s="11" t="s">
        <v>496</v>
      </c>
      <c r="Q226" s="11" t="s">
        <v>646</v>
      </c>
      <c r="R226" s="8" t="s">
        <v>596</v>
      </c>
      <c r="S226" s="10" t="s">
        <v>1007</v>
      </c>
      <c r="T226" s="8" t="s">
        <v>60</v>
      </c>
      <c r="U226" s="8" t="s">
        <v>641</v>
      </c>
      <c r="V226" s="8" t="s">
        <v>641</v>
      </c>
      <c r="W226" s="8" t="s">
        <v>239</v>
      </c>
      <c r="X226" s="8" t="s">
        <v>239</v>
      </c>
      <c r="Y226" s="14">
        <v>44724</v>
      </c>
      <c r="Z226" s="14">
        <v>45455</v>
      </c>
      <c r="AA226" s="8"/>
      <c r="AB226" s="10" t="s">
        <v>232</v>
      </c>
      <c r="AC226" s="10" t="s">
        <v>91</v>
      </c>
      <c r="AD226" s="12">
        <f>Table1[[#This Row],[القيمة]]</f>
        <v>37263180.100000001</v>
      </c>
      <c r="AE226" s="8" t="s">
        <v>641</v>
      </c>
      <c r="AF226" s="8"/>
      <c r="AG226" s="8"/>
      <c r="AH226" s="8"/>
      <c r="AI226" s="8"/>
      <c r="AJ226" s="8">
        <v>100</v>
      </c>
      <c r="AK226" s="8">
        <v>1.85</v>
      </c>
      <c r="AL226" s="8">
        <v>98.15</v>
      </c>
      <c r="AM226" s="8" t="s">
        <v>239</v>
      </c>
      <c r="AN226" s="8" t="s">
        <v>239</v>
      </c>
      <c r="AO226" s="8"/>
      <c r="AP226" s="8"/>
      <c r="AQ226" s="8"/>
      <c r="AR226" s="8"/>
      <c r="AS226" s="8">
        <v>98.15</v>
      </c>
      <c r="AT226" s="54"/>
      <c r="AU226" s="54"/>
    </row>
    <row r="227" spans="1:47" ht="49.95" customHeight="1" x14ac:dyDescent="0.25">
      <c r="A227" s="8">
        <f>SUBTOTAL(3, $J$2:J227)</f>
        <v>221</v>
      </c>
      <c r="B227" s="8" t="s">
        <v>180</v>
      </c>
      <c r="C227" s="8" t="s">
        <v>55</v>
      </c>
      <c r="D227" s="8"/>
      <c r="E227" s="8"/>
      <c r="F227" s="8"/>
      <c r="G227" s="8"/>
      <c r="H227" s="8"/>
      <c r="I227" s="8"/>
      <c r="J227" s="8">
        <v>121210042</v>
      </c>
      <c r="K227" s="96" t="s">
        <v>57</v>
      </c>
      <c r="L227" s="37">
        <f>1.15*Table1[[#This Row],[القيمة]]</f>
        <v>52577738.950000003</v>
      </c>
      <c r="M227" s="10" t="s">
        <v>577</v>
      </c>
      <c r="N227" s="11">
        <v>45719773.000000007</v>
      </c>
      <c r="O227" s="20"/>
      <c r="P227" s="11" t="s">
        <v>238</v>
      </c>
      <c r="Q227" s="11" t="s">
        <v>49</v>
      </c>
      <c r="R227" s="8" t="s">
        <v>49</v>
      </c>
      <c r="S227" s="10" t="s">
        <v>565</v>
      </c>
      <c r="T227" s="8" t="s">
        <v>60</v>
      </c>
      <c r="U227" s="17" t="s">
        <v>369</v>
      </c>
      <c r="V227" s="8" t="s">
        <v>369</v>
      </c>
      <c r="W227" s="8" t="s">
        <v>239</v>
      </c>
      <c r="X227" s="8" t="s">
        <v>578</v>
      </c>
      <c r="Y227" s="14" t="s">
        <v>579</v>
      </c>
      <c r="Z227" s="14" t="s">
        <v>580</v>
      </c>
      <c r="AA227" s="10" t="s">
        <v>578</v>
      </c>
      <c r="AB227" s="10" t="s">
        <v>565</v>
      </c>
      <c r="AC227" s="10"/>
      <c r="AD227" s="12">
        <f>Table1[[#This Row],[القيمة]]</f>
        <v>45719773.000000007</v>
      </c>
      <c r="AE227" s="8"/>
      <c r="AF227" s="17" t="s">
        <v>369</v>
      </c>
      <c r="AG227" s="8"/>
      <c r="AH227" s="8"/>
      <c r="AI227" s="8"/>
      <c r="AJ227" s="8">
        <v>100</v>
      </c>
      <c r="AK227" s="8">
        <v>22.92</v>
      </c>
      <c r="AL227" s="8"/>
      <c r="AM227" s="8"/>
      <c r="AN227" s="8"/>
      <c r="AO227" s="8"/>
      <c r="AP227" s="8"/>
      <c r="AQ227" s="8"/>
      <c r="AR227" s="8"/>
      <c r="AS227" s="8">
        <v>77.08</v>
      </c>
      <c r="AT227" s="54"/>
      <c r="AU227" s="54"/>
    </row>
    <row r="228" spans="1:47" ht="49.95" customHeight="1" x14ac:dyDescent="0.25">
      <c r="A228" s="54">
        <f>SUBTOTAL(3, $J$2:J228)</f>
        <v>222</v>
      </c>
      <c r="B228" s="54" t="s">
        <v>180</v>
      </c>
      <c r="C228" s="54" t="s">
        <v>55</v>
      </c>
      <c r="D228" s="54"/>
      <c r="E228" s="54"/>
      <c r="F228" s="54"/>
      <c r="G228" s="54"/>
      <c r="H228" s="8"/>
      <c r="I228" s="8"/>
      <c r="J228" s="54">
        <v>111250589</v>
      </c>
      <c r="K228" s="79" t="s">
        <v>47</v>
      </c>
      <c r="L228" s="37">
        <f>1.15*Table1[[#This Row],[القيمة]]</f>
        <v>3972502.4999999995</v>
      </c>
      <c r="M228" s="58" t="s">
        <v>599</v>
      </c>
      <c r="N228" s="73">
        <v>3454350</v>
      </c>
      <c r="O228" s="68"/>
      <c r="P228" s="59"/>
      <c r="Q228" s="59"/>
      <c r="R228" s="46" t="s">
        <v>596</v>
      </c>
      <c r="S228" s="62" t="s">
        <v>600</v>
      </c>
      <c r="T228" s="54"/>
      <c r="U228" s="8" t="s">
        <v>601</v>
      </c>
      <c r="V228" s="54"/>
      <c r="W228" s="54" t="s">
        <v>175</v>
      </c>
      <c r="X228" s="54" t="s">
        <v>149</v>
      </c>
      <c r="Y228" s="55">
        <v>46201</v>
      </c>
      <c r="Z228" s="55">
        <v>46383</v>
      </c>
      <c r="AA228" s="55" t="s">
        <v>76</v>
      </c>
      <c r="AB228" s="56" t="s">
        <v>602</v>
      </c>
      <c r="AC228" s="56"/>
      <c r="AD228" s="57">
        <f>Table1[[#This Row],[القيمة]]</f>
        <v>3454350</v>
      </c>
      <c r="AE228" s="19" t="s">
        <v>601</v>
      </c>
      <c r="AF228" s="54"/>
      <c r="AG228" s="54"/>
      <c r="AH228" s="54"/>
      <c r="AI228" s="54"/>
      <c r="AJ228" s="54">
        <v>20.95</v>
      </c>
      <c r="AK228" s="54">
        <v>0</v>
      </c>
      <c r="AL228" s="54">
        <v>20.95</v>
      </c>
      <c r="AM228" s="8"/>
      <c r="AN228" s="8"/>
      <c r="AO228" s="54"/>
      <c r="AP228" s="54"/>
      <c r="AQ228" s="54"/>
      <c r="AR228" s="54"/>
      <c r="AS228" s="54"/>
      <c r="AT228" s="54"/>
      <c r="AU228" s="54"/>
    </row>
    <row r="229" spans="1:47" ht="49.95" customHeight="1" x14ac:dyDescent="0.25">
      <c r="A229" s="8">
        <f>SUBTOTAL(3, $J$2:J229)</f>
        <v>223</v>
      </c>
      <c r="B229" s="8" t="s">
        <v>91</v>
      </c>
      <c r="C229" s="8" t="s">
        <v>55</v>
      </c>
      <c r="D229" s="8">
        <v>42.697687999999999</v>
      </c>
      <c r="E229" s="8">
        <v>18.319588</v>
      </c>
      <c r="F229" s="8">
        <v>7500</v>
      </c>
      <c r="G229" s="8">
        <v>7326.65</v>
      </c>
      <c r="H229" s="8" t="s">
        <v>673</v>
      </c>
      <c r="I229" s="8" t="s">
        <v>674</v>
      </c>
      <c r="J229" s="8">
        <v>111250163</v>
      </c>
      <c r="K229" s="27" t="s">
        <v>47</v>
      </c>
      <c r="L229" s="37">
        <f>1.15*Table1[[#This Row],[القيمة]]</f>
        <v>18300962.977499999</v>
      </c>
      <c r="M229" s="10" t="s">
        <v>675</v>
      </c>
      <c r="N229" s="11">
        <v>15913880.85</v>
      </c>
      <c r="O229" s="20" t="s">
        <v>676</v>
      </c>
      <c r="P229" s="11" t="s">
        <v>96</v>
      </c>
      <c r="Q229" s="11" t="s">
        <v>633</v>
      </c>
      <c r="R229" s="8" t="s">
        <v>596</v>
      </c>
      <c r="S229" s="10" t="s">
        <v>677</v>
      </c>
      <c r="T229" s="8" t="s">
        <v>60</v>
      </c>
      <c r="U229" s="8" t="s">
        <v>601</v>
      </c>
      <c r="V229" s="8" t="s">
        <v>678</v>
      </c>
      <c r="W229" s="8" t="s">
        <v>149</v>
      </c>
      <c r="X229" s="8" t="s">
        <v>149</v>
      </c>
      <c r="Y229" s="14">
        <v>45826</v>
      </c>
      <c r="Z229" s="14">
        <v>46085</v>
      </c>
      <c r="AA229" s="8"/>
      <c r="AB229" s="10" t="s">
        <v>677</v>
      </c>
      <c r="AC229" s="10" t="s">
        <v>91</v>
      </c>
      <c r="AD229" s="12">
        <f>Table1[[#This Row],[القيمة]]</f>
        <v>15913880.85</v>
      </c>
      <c r="AE229" s="19" t="s">
        <v>601</v>
      </c>
      <c r="AF229" s="8"/>
      <c r="AG229" s="8"/>
      <c r="AH229" s="8"/>
      <c r="AI229" s="8" t="s">
        <v>114</v>
      </c>
      <c r="AJ229" s="8">
        <v>100</v>
      </c>
      <c r="AK229" s="8">
        <v>83.25</v>
      </c>
      <c r="AL229" s="8">
        <v>16.75</v>
      </c>
      <c r="AM229" s="8" t="s">
        <v>679</v>
      </c>
      <c r="AN229" s="8" t="s">
        <v>679</v>
      </c>
      <c r="AO229" s="8">
        <v>0</v>
      </c>
      <c r="AP229" s="8">
        <v>0</v>
      </c>
      <c r="AQ229" s="8"/>
      <c r="AR229" s="8">
        <v>38</v>
      </c>
      <c r="AS229" s="8">
        <v>16.75</v>
      </c>
      <c r="AT229" s="54"/>
      <c r="AU229" s="54"/>
    </row>
    <row r="230" spans="1:47" ht="49.95" customHeight="1" x14ac:dyDescent="0.25">
      <c r="A230" s="8">
        <v>2</v>
      </c>
      <c r="B230" s="8" t="s">
        <v>180</v>
      </c>
      <c r="C230" s="8"/>
      <c r="D230" s="8"/>
      <c r="E230" s="8"/>
      <c r="F230" s="8"/>
      <c r="G230" s="8"/>
      <c r="H230" s="8"/>
      <c r="I230" s="8"/>
      <c r="J230" s="99">
        <v>121260292</v>
      </c>
      <c r="K230" s="27" t="s">
        <v>71</v>
      </c>
      <c r="L230" s="37">
        <f>1.15*Table1[[#This Row],[القيمة]]</f>
        <v>18263388.682500001</v>
      </c>
      <c r="M230" s="106" t="s">
        <v>893</v>
      </c>
      <c r="N230" s="108">
        <v>15881207.550000001</v>
      </c>
      <c r="O230" s="20"/>
      <c r="P230" s="11"/>
      <c r="Q230" s="11"/>
      <c r="R230" s="8" t="s">
        <v>49</v>
      </c>
      <c r="S230" s="106" t="s">
        <v>894</v>
      </c>
      <c r="T230" s="97" t="s">
        <v>60</v>
      </c>
      <c r="U230" s="97" t="s">
        <v>369</v>
      </c>
      <c r="V230" s="97"/>
      <c r="W230" s="8" t="s">
        <v>75</v>
      </c>
      <c r="X230" s="8"/>
      <c r="Y230" s="14">
        <v>46251</v>
      </c>
      <c r="Z230" s="14"/>
      <c r="AA230" s="14"/>
      <c r="AB230" s="10"/>
      <c r="AC230" s="10" t="s">
        <v>180</v>
      </c>
      <c r="AD230" s="12">
        <v>15881207.550000001</v>
      </c>
      <c r="AE230" s="8"/>
      <c r="AF230" s="8"/>
      <c r="AG230" s="97"/>
      <c r="AH230" s="8"/>
      <c r="AI230" s="8"/>
      <c r="AJ230" s="8"/>
      <c r="AK230" s="8"/>
      <c r="AL230" s="8"/>
      <c r="AM230" s="8"/>
      <c r="AN230" s="8"/>
      <c r="AO230" s="8"/>
      <c r="AP230" s="8"/>
      <c r="AQ230" s="8"/>
      <c r="AR230" s="8"/>
      <c r="AS230" s="8"/>
      <c r="AT230" s="54"/>
      <c r="AU230" s="54"/>
    </row>
    <row r="231" spans="1:47" ht="49.95" customHeight="1" x14ac:dyDescent="0.25">
      <c r="A231" s="8"/>
      <c r="B231" s="8"/>
      <c r="C231" s="8"/>
      <c r="D231" s="8"/>
      <c r="E231" s="8"/>
      <c r="F231" s="8"/>
      <c r="G231" s="8"/>
      <c r="H231" s="8"/>
      <c r="I231" s="8"/>
      <c r="J231" s="8"/>
      <c r="K231" s="27"/>
      <c r="L231" s="27"/>
      <c r="M231" s="20"/>
      <c r="N231" s="11"/>
      <c r="O231" s="11"/>
      <c r="P231" s="11"/>
      <c r="Q231" s="11"/>
      <c r="R231" s="8"/>
      <c r="S231" s="10"/>
      <c r="T231" s="8"/>
      <c r="U231" s="8"/>
      <c r="V231" s="8"/>
      <c r="W231" s="8"/>
      <c r="X231" s="8"/>
      <c r="Y231" s="14"/>
      <c r="Z231" s="14"/>
      <c r="AA231" s="10"/>
      <c r="AB231" s="10"/>
      <c r="AC231" s="10"/>
      <c r="AD231" s="12"/>
      <c r="AE231" s="8"/>
      <c r="AF231" s="8"/>
      <c r="AG231" s="8"/>
      <c r="AH231" s="8"/>
      <c r="AI231" s="8"/>
      <c r="AJ231" s="8"/>
      <c r="AK231" s="8"/>
      <c r="AL231" s="8"/>
      <c r="AM231" s="8"/>
      <c r="AN231" s="8"/>
      <c r="AO231" s="8"/>
      <c r="AP231" s="8"/>
      <c r="AQ231" s="8"/>
      <c r="AR231" s="8"/>
      <c r="AS231" s="8"/>
      <c r="AT231" s="72"/>
      <c r="AU231" s="72"/>
    </row>
    <row r="232" spans="1:47" ht="13.95" customHeight="1" x14ac:dyDescent="0.25"/>
    <row r="233" spans="1:47" ht="49.95" customHeight="1" x14ac:dyDescent="0.25">
      <c r="A233" s="8"/>
      <c r="B233" s="8"/>
      <c r="C233" s="8"/>
      <c r="D233" s="8"/>
      <c r="E233" s="8"/>
      <c r="F233" s="8"/>
      <c r="G233" s="8"/>
      <c r="H233" s="8"/>
      <c r="I233" s="8"/>
      <c r="J233" s="8"/>
      <c r="K233" s="8"/>
      <c r="L233" s="9"/>
      <c r="M233" s="10"/>
      <c r="N233" s="11">
        <v>17245269</v>
      </c>
      <c r="O233" s="8"/>
      <c r="P233" s="10"/>
      <c r="Q233" s="8"/>
      <c r="R233" s="8"/>
      <c r="S233" s="8"/>
      <c r="T233" s="14"/>
      <c r="U233" s="14"/>
      <c r="V233" s="8"/>
      <c r="W233" s="10"/>
      <c r="X233" s="10"/>
      <c r="Y233" s="12"/>
      <c r="Z233" s="8"/>
      <c r="AA233" s="8"/>
      <c r="AB233" s="8"/>
      <c r="AC233" s="8"/>
      <c r="AD233" s="8"/>
      <c r="AE233" s="8"/>
      <c r="AF233" s="8"/>
      <c r="AG233" s="8"/>
      <c r="AH233" s="8"/>
      <c r="AI233" s="8"/>
      <c r="AJ233" s="54"/>
      <c r="AM233" s="8"/>
      <c r="AN233" s="8"/>
      <c r="AO233" s="8"/>
      <c r="AP233" s="8"/>
      <c r="AQ233" s="54"/>
    </row>
  </sheetData>
  <conditionalFormatting sqref="J2:J230">
    <cfRule type="duplicateValues" dxfId="49" priority="2"/>
  </conditionalFormatting>
  <conditionalFormatting sqref="J186:J208">
    <cfRule type="duplicateValues" dxfId="48" priority="4"/>
  </conditionalFormatting>
  <conditionalFormatting sqref="J233">
    <cfRule type="duplicateValues" dxfId="47" priority="1"/>
  </conditionalFormatting>
  <printOptions horizontalCentered="1"/>
  <pageMargins left="0.7" right="0.7" top="0.75" bottom="0.75" header="0.3" footer="0.3"/>
  <pageSetup paperSize="9" scale="23"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rightToLeft="1" workbookViewId="0">
      <selection activeCell="C6" sqref="C6"/>
    </sheetView>
  </sheetViews>
  <sheetFormatPr defaultRowHeight="13.8" x14ac:dyDescent="0.25"/>
  <cols>
    <col min="1" max="1" width="20.3984375" bestFit="1" customWidth="1"/>
    <col min="3" max="3" width="10.8984375" bestFit="1" customWidth="1"/>
  </cols>
  <sheetData>
    <row r="1" spans="1:3" ht="14.4" customHeight="1" x14ac:dyDescent="0.25">
      <c r="A1" s="64" t="s">
        <v>23</v>
      </c>
      <c r="B1" t="s">
        <v>1041</v>
      </c>
      <c r="C1" t="s">
        <v>1042</v>
      </c>
    </row>
    <row r="2" spans="1:3" ht="14.4" customHeight="1" x14ac:dyDescent="0.25">
      <c r="A2" s="8" t="s">
        <v>75</v>
      </c>
      <c r="B2">
        <v>1</v>
      </c>
      <c r="C2" t="s">
        <v>75</v>
      </c>
    </row>
    <row r="3" spans="1:3" ht="14.4" customHeight="1" x14ac:dyDescent="0.25">
      <c r="A3" s="8" t="s">
        <v>52</v>
      </c>
      <c r="B3">
        <v>5</v>
      </c>
      <c r="C3" s="8" t="s">
        <v>52</v>
      </c>
    </row>
    <row r="4" spans="1:3" ht="14.4" customHeight="1" x14ac:dyDescent="0.25">
      <c r="A4" s="8" t="s">
        <v>322</v>
      </c>
      <c r="B4">
        <v>2</v>
      </c>
      <c r="C4" t="s">
        <v>75</v>
      </c>
    </row>
    <row r="5" spans="1:3" ht="14.4" customHeight="1" x14ac:dyDescent="0.25">
      <c r="A5" s="8" t="s">
        <v>239</v>
      </c>
      <c r="B5">
        <v>6</v>
      </c>
      <c r="C5" t="s">
        <v>1043</v>
      </c>
    </row>
    <row r="6" spans="1:3" ht="14.4" customHeight="1" x14ac:dyDescent="0.25">
      <c r="A6" s="46" t="s">
        <v>539</v>
      </c>
      <c r="B6">
        <v>4</v>
      </c>
      <c r="C6" s="8" t="s">
        <v>52</v>
      </c>
    </row>
    <row r="7" spans="1:3" ht="14.4" customHeight="1" x14ac:dyDescent="0.25">
      <c r="A7" s="8" t="s">
        <v>428</v>
      </c>
      <c r="B7">
        <v>3</v>
      </c>
      <c r="C7" t="s">
        <v>1043</v>
      </c>
    </row>
    <row r="8" spans="1:3" ht="14.4" x14ac:dyDescent="0.25">
      <c r="A8" s="8" t="s">
        <v>149</v>
      </c>
      <c r="B8">
        <v>7</v>
      </c>
      <c r="C8"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sadat Ahmed</dc:creator>
  <cp:lastModifiedBy>sadat Ahmed</cp:lastModifiedBy>
  <dcterms:created xsi:type="dcterms:W3CDTF">2026-05-25T10:13:23Z</dcterms:created>
  <dcterms:modified xsi:type="dcterms:W3CDTF">2026-08-31T06:35:12Z</dcterms:modified>
</cp:coreProperties>
</file>